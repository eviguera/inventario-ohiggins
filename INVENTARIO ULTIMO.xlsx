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168CD52-3491-42BD-883B-8C2DFF4896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B  LUNETA" sheetId="1" r:id="rId1"/>
    <sheet name="NUEVO VP" sheetId="19" r:id="rId2"/>
    <sheet name="INVENTARIO CYNDY " sheetId="23" r:id="rId3"/>
    <sheet name="EQUIPAMIENTO COMPLETO" sheetId="4" r:id="rId4"/>
    <sheet name="PARTES" sheetId="5" r:id="rId5"/>
    <sheet name="LONAS ARG" sheetId="12" r:id="rId6"/>
    <sheet name="INF" sheetId="13" r:id="rId7"/>
    <sheet name="EQUIPAMIENTO AUTOMOTRIZ CLIENTE" sheetId="16" r:id="rId8"/>
    <sheet name="EQUIPAMIENTO MINERO" sheetId="17" r:id="rId9"/>
  </sheets>
  <definedNames>
    <definedName name="_xlnm._FilterDatabase" localSheetId="3" hidden="1">'EQUIPAMIENTO COMPLETO'!$A$7:$L$39</definedName>
    <definedName name="_xlnm._FilterDatabase" localSheetId="1" hidden="1">'NUEVO VP'!$A$2:$I$377</definedName>
    <definedName name="_xlnm._FilterDatabase" localSheetId="0" hidden="1">'PB  LUNETA'!$A$1:$I$401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3" l="1"/>
  <c r="H16" i="23" s="1"/>
  <c r="G15" i="23"/>
  <c r="I13" i="23"/>
  <c r="I12" i="23"/>
  <c r="I11" i="23"/>
  <c r="I10" i="23"/>
  <c r="I9" i="23"/>
  <c r="I8" i="23"/>
  <c r="I7" i="23"/>
  <c r="I6" i="23"/>
  <c r="I5" i="23"/>
  <c r="I4" i="23"/>
  <c r="I3" i="23"/>
  <c r="I2" i="23"/>
  <c r="I1" i="23"/>
  <c r="I934" i="1"/>
  <c r="I418" i="1"/>
  <c r="I884" i="1"/>
  <c r="I933" i="1"/>
  <c r="I932" i="1"/>
  <c r="I120" i="1"/>
  <c r="I931" i="1"/>
  <c r="I930" i="1"/>
  <c r="I792" i="1"/>
  <c r="I739" i="1"/>
  <c r="I929" i="1"/>
  <c r="I860" i="1"/>
  <c r="I226" i="1"/>
  <c r="I927" i="1"/>
  <c r="I928" i="1"/>
  <c r="I15" i="23" l="1"/>
  <c r="G913" i="1" l="1"/>
  <c r="C379" i="19"/>
  <c r="I926" i="1" l="1"/>
  <c r="I437" i="1" l="1"/>
  <c r="I189" i="1" l="1"/>
  <c r="I910" i="1" l="1"/>
  <c r="I909" i="1" l="1"/>
  <c r="I639" i="1"/>
  <c r="I908" i="1" l="1"/>
  <c r="I907" i="1"/>
  <c r="I906" i="1"/>
  <c r="I905" i="1"/>
  <c r="I904" i="1"/>
  <c r="I381" i="1"/>
  <c r="I903" i="1"/>
  <c r="I901" i="1" l="1"/>
  <c r="I638" i="1"/>
  <c r="I866" i="1" l="1"/>
  <c r="I899" i="1" l="1"/>
  <c r="I898" i="1" l="1"/>
  <c r="I897" i="1" l="1"/>
  <c r="I896" i="1"/>
  <c r="I895" i="1"/>
  <c r="I867" i="1"/>
  <c r="I893" i="1"/>
  <c r="I894" i="1"/>
  <c r="I888" i="1"/>
  <c r="I480" i="1"/>
  <c r="I890" i="1"/>
  <c r="I891" i="1"/>
  <c r="I892" i="1"/>
  <c r="F21" i="5" l="1"/>
  <c r="F22" i="5"/>
  <c r="F26" i="5"/>
  <c r="I741" i="1" l="1"/>
  <c r="I887" i="1" l="1"/>
  <c r="I886" i="1" l="1"/>
  <c r="I84" i="1" l="1"/>
  <c r="I83" i="1"/>
  <c r="I885" i="1"/>
  <c r="I499" i="1"/>
  <c r="I881" i="1" l="1"/>
  <c r="I880" i="1"/>
  <c r="I861" i="1"/>
  <c r="I879" i="1" l="1"/>
  <c r="I878" i="1" l="1"/>
  <c r="I877" i="1"/>
  <c r="I876" i="1" l="1"/>
  <c r="I875" i="1" l="1"/>
  <c r="I719" i="1"/>
  <c r="I650" i="1"/>
  <c r="I869" i="1" l="1"/>
  <c r="I868" i="1" l="1"/>
  <c r="I874" i="1" l="1"/>
  <c r="I871" i="1"/>
  <c r="I873" i="1"/>
  <c r="I872" i="1"/>
  <c r="I870" i="1" l="1"/>
  <c r="I864" i="1"/>
  <c r="I863" i="1"/>
  <c r="I865" i="1"/>
  <c r="I862" i="1"/>
  <c r="G26" i="5"/>
  <c r="H26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G2" i="5"/>
  <c r="H2" i="5" s="1"/>
  <c r="I859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5" i="1"/>
  <c r="I814" i="1"/>
  <c r="I813" i="1"/>
  <c r="I812" i="1"/>
  <c r="I811" i="1"/>
  <c r="I810" i="1"/>
  <c r="I809" i="1"/>
  <c r="I808" i="1"/>
  <c r="I807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1" i="1"/>
  <c r="I750" i="1"/>
  <c r="I749" i="1"/>
  <c r="I748" i="1"/>
  <c r="I747" i="1"/>
  <c r="I746" i="1"/>
  <c r="I745" i="1"/>
  <c r="I744" i="1"/>
  <c r="I743" i="1"/>
  <c r="I742" i="1"/>
  <c r="I740" i="1"/>
  <c r="I738" i="1"/>
  <c r="I737" i="1"/>
  <c r="I735" i="1"/>
  <c r="I734" i="1"/>
  <c r="I732" i="1"/>
  <c r="I731" i="1"/>
  <c r="I730" i="1"/>
  <c r="I728" i="1"/>
  <c r="I727" i="1"/>
  <c r="I726" i="1"/>
  <c r="I725" i="1"/>
  <c r="I724" i="1"/>
  <c r="I723" i="1"/>
  <c r="I722" i="1"/>
  <c r="I721" i="1"/>
  <c r="I720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57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6" i="1"/>
  <c r="I687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49" i="1"/>
  <c r="I648" i="1"/>
  <c r="I647" i="1"/>
  <c r="I646" i="1"/>
  <c r="I645" i="1"/>
  <c r="I644" i="1"/>
  <c r="I643" i="1"/>
  <c r="I642" i="1"/>
  <c r="I247" i="1"/>
  <c r="I637" i="1"/>
  <c r="I438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519" i="1"/>
  <c r="I518" i="1"/>
  <c r="I618" i="1"/>
  <c r="I617" i="1"/>
  <c r="I616" i="1"/>
  <c r="I615" i="1"/>
  <c r="I614" i="1"/>
  <c r="I613" i="1"/>
  <c r="I612" i="1"/>
  <c r="I611" i="1"/>
  <c r="I610" i="1"/>
  <c r="I608" i="1"/>
  <c r="I607" i="1"/>
  <c r="I606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704" i="1"/>
  <c r="I573" i="1"/>
  <c r="I572" i="1"/>
  <c r="I570" i="1"/>
  <c r="I569" i="1"/>
  <c r="I568" i="1"/>
  <c r="I567" i="1"/>
  <c r="I566" i="1"/>
  <c r="I565" i="1"/>
  <c r="I564" i="1"/>
  <c r="I563" i="1"/>
  <c r="I562" i="1"/>
  <c r="I561" i="1"/>
  <c r="I560" i="1"/>
  <c r="I889" i="1"/>
  <c r="I558" i="1"/>
  <c r="I557" i="1"/>
  <c r="I554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20" i="1"/>
  <c r="I521" i="1"/>
  <c r="I522" i="1"/>
  <c r="I523" i="1"/>
  <c r="I524" i="1"/>
  <c r="I525" i="1"/>
  <c r="I526" i="1"/>
  <c r="I527" i="1"/>
  <c r="I528" i="1"/>
  <c r="I532" i="1"/>
  <c r="I531" i="1"/>
  <c r="I530" i="1"/>
  <c r="I529" i="1"/>
  <c r="I619" i="1"/>
  <c r="I620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559" i="1"/>
  <c r="I478" i="1"/>
  <c r="I479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640" i="1"/>
  <c r="I641" i="1"/>
  <c r="I436" i="1"/>
  <c r="I435" i="1"/>
  <c r="I434" i="1"/>
  <c r="I427" i="1"/>
  <c r="I429" i="1"/>
  <c r="I430" i="1"/>
  <c r="I433" i="1"/>
  <c r="I432" i="1"/>
  <c r="I428" i="1"/>
  <c r="I431" i="1"/>
  <c r="I426" i="1"/>
  <c r="I425" i="1"/>
  <c r="I424" i="1"/>
  <c r="I423" i="1"/>
  <c r="I422" i="1"/>
  <c r="I421" i="1"/>
  <c r="I420" i="1"/>
  <c r="I419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389" i="1"/>
  <c r="I380" i="1"/>
  <c r="I388" i="1"/>
  <c r="I379" i="1"/>
  <c r="I378" i="1"/>
  <c r="I387" i="1"/>
  <c r="I386" i="1"/>
  <c r="I385" i="1"/>
  <c r="I377" i="1"/>
  <c r="I384" i="1"/>
  <c r="I160" i="1"/>
  <c r="I7" i="1"/>
  <c r="I99" i="1"/>
  <c r="I208" i="1"/>
  <c r="I207" i="1"/>
  <c r="I206" i="1"/>
  <c r="I279" i="1"/>
  <c r="I156" i="1"/>
  <c r="I273" i="1"/>
  <c r="I65" i="1"/>
  <c r="I243" i="1"/>
  <c r="I246" i="1"/>
  <c r="I27" i="1"/>
  <c r="I383" i="1"/>
  <c r="I353" i="1"/>
  <c r="I338" i="1"/>
  <c r="I337" i="1"/>
  <c r="I336" i="1"/>
  <c r="I335" i="1"/>
  <c r="I149" i="1"/>
  <c r="I148" i="1"/>
  <c r="I147" i="1"/>
  <c r="I146" i="1"/>
  <c r="I326" i="1"/>
  <c r="I167" i="1"/>
  <c r="I367" i="1"/>
  <c r="I183" i="1"/>
  <c r="I3" i="1"/>
  <c r="I145" i="1"/>
  <c r="I144" i="1"/>
  <c r="I143" i="1"/>
  <c r="I142" i="1"/>
  <c r="I396" i="1"/>
  <c r="I395" i="1"/>
  <c r="I394" i="1"/>
  <c r="I242" i="1"/>
  <c r="I38" i="1"/>
  <c r="I332" i="1"/>
  <c r="I23" i="1"/>
  <c r="I22" i="1"/>
  <c r="I141" i="1"/>
  <c r="I140" i="1"/>
  <c r="I139" i="1"/>
  <c r="I138" i="1"/>
  <c r="I137" i="1"/>
  <c r="I136" i="1"/>
  <c r="I135" i="1"/>
  <c r="I134" i="1"/>
  <c r="I133" i="1"/>
  <c r="I132" i="1"/>
  <c r="I321" i="1"/>
  <c r="I205" i="1"/>
  <c r="I214" i="1"/>
  <c r="I213" i="1"/>
  <c r="I212" i="1"/>
  <c r="I88" i="1"/>
  <c r="I87" i="1"/>
  <c r="I352" i="1"/>
  <c r="I351" i="1"/>
  <c r="I130" i="1"/>
  <c r="I129" i="1"/>
  <c r="I150" i="1"/>
  <c r="I128" i="1"/>
  <c r="I25" i="1"/>
  <c r="I64" i="1"/>
  <c r="I63" i="1"/>
  <c r="I62" i="1"/>
  <c r="I204" i="1"/>
  <c r="I24" i="1"/>
  <c r="I162" i="1"/>
  <c r="I203" i="1"/>
  <c r="I202" i="1"/>
  <c r="I200" i="1"/>
  <c r="I199" i="1"/>
  <c r="I198" i="1"/>
  <c r="I197" i="1"/>
  <c r="I196" i="1"/>
  <c r="I195" i="1"/>
  <c r="I126" i="1"/>
  <c r="I125" i="1"/>
  <c r="I278" i="1"/>
  <c r="I21" i="1"/>
  <c r="I20" i="1"/>
  <c r="I19" i="1"/>
  <c r="I17" i="1"/>
  <c r="I18" i="1"/>
  <c r="I269" i="1"/>
  <c r="I366" i="1"/>
  <c r="I112" i="1"/>
  <c r="I111" i="1"/>
  <c r="I121" i="1"/>
  <c r="I79" i="1"/>
  <c r="I78" i="1"/>
  <c r="I69" i="1"/>
  <c r="I68" i="1"/>
  <c r="I110" i="1"/>
  <c r="I61" i="1"/>
  <c r="I67" i="1"/>
  <c r="I60" i="1"/>
  <c r="I59" i="1"/>
  <c r="I365" i="1"/>
  <c r="I113" i="1"/>
  <c r="I329" i="1"/>
  <c r="I296" i="1"/>
  <c r="I376" i="1"/>
  <c r="I368" i="1"/>
  <c r="I86" i="1"/>
  <c r="I109" i="1"/>
  <c r="I108" i="1"/>
  <c r="I116" i="1"/>
  <c r="I291" i="1"/>
  <c r="I290" i="1"/>
  <c r="I289" i="1"/>
  <c r="I262" i="1"/>
  <c r="I34" i="1"/>
  <c r="I260" i="1"/>
  <c r="I259" i="1"/>
  <c r="I258" i="1"/>
  <c r="I264" i="1"/>
  <c r="I261" i="1"/>
  <c r="I33" i="1"/>
  <c r="I98" i="1"/>
  <c r="I97" i="1"/>
  <c r="I32" i="1"/>
  <c r="I35" i="1"/>
  <c r="I182" i="1"/>
  <c r="I181" i="1"/>
  <c r="I180" i="1"/>
  <c r="I179" i="1"/>
  <c r="I58" i="1"/>
  <c r="I193" i="1"/>
  <c r="I192" i="1"/>
  <c r="I391" i="1"/>
  <c r="I390" i="1"/>
  <c r="I57" i="1"/>
  <c r="I56" i="1"/>
  <c r="I55" i="1"/>
  <c r="I54" i="1"/>
  <c r="I293" i="1"/>
  <c r="I364" i="1"/>
  <c r="I363" i="1"/>
  <c r="I362" i="1"/>
  <c r="I361" i="1"/>
  <c r="I360" i="1"/>
  <c r="I359" i="1"/>
  <c r="I223" i="1"/>
  <c r="I219" i="1"/>
  <c r="I158" i="1"/>
  <c r="I277" i="1"/>
  <c r="I52" i="1"/>
  <c r="I51" i="1"/>
  <c r="I31" i="1"/>
  <c r="I325" i="1"/>
  <c r="I324" i="1"/>
  <c r="I323" i="1"/>
  <c r="I328" i="1"/>
  <c r="I322" i="1"/>
  <c r="I281" i="1"/>
  <c r="I9" i="1"/>
  <c r="I8" i="1"/>
  <c r="I161" i="1"/>
  <c r="I178" i="1"/>
  <c r="I2" i="1"/>
  <c r="I177" i="1"/>
  <c r="I176" i="1"/>
  <c r="I119" i="1"/>
  <c r="I350" i="1"/>
  <c r="I50" i="1"/>
  <c r="I221" i="1"/>
  <c r="I220" i="1"/>
  <c r="I107" i="1"/>
  <c r="I96" i="1"/>
  <c r="I95" i="1"/>
  <c r="I94" i="1"/>
  <c r="I93" i="1"/>
  <c r="I89" i="1"/>
  <c r="I241" i="1"/>
  <c r="I240" i="1"/>
  <c r="I239" i="1"/>
  <c r="I238" i="1"/>
  <c r="I237" i="1"/>
  <c r="I236" i="1"/>
  <c r="I354" i="1"/>
  <c r="I349" i="1"/>
  <c r="I288" i="1"/>
  <c r="I287" i="1"/>
  <c r="I49" i="1"/>
  <c r="I157" i="1"/>
  <c r="I348" i="1"/>
  <c r="I355" i="1"/>
  <c r="I347" i="1"/>
  <c r="I346" i="1"/>
  <c r="I235" i="1"/>
  <c r="I234" i="1"/>
  <c r="I124" i="1"/>
  <c r="I123" i="1"/>
  <c r="I115" i="1"/>
  <c r="I233" i="1"/>
  <c r="I232" i="1"/>
  <c r="I106" i="1"/>
  <c r="I327" i="1"/>
  <c r="I48" i="1"/>
  <c r="I47" i="1"/>
  <c r="I280" i="1"/>
  <c r="I276" i="1"/>
  <c r="I46" i="1"/>
  <c r="I358" i="1"/>
  <c r="I375" i="1"/>
  <c r="I217" i="1"/>
  <c r="I77" i="1"/>
  <c r="I76" i="1"/>
  <c r="I75" i="1"/>
  <c r="I82" i="1"/>
  <c r="I74" i="1"/>
  <c r="I393" i="1"/>
  <c r="I81" i="1"/>
  <c r="I73" i="1"/>
  <c r="I270" i="1"/>
  <c r="I72" i="1"/>
  <c r="I85" i="1"/>
  <c r="I900" i="1"/>
  <c r="I118" i="1"/>
  <c r="I374" i="1"/>
  <c r="I373" i="1"/>
  <c r="I231" i="1"/>
  <c r="I286" i="1"/>
  <c r="I45" i="1"/>
  <c r="I44" i="1"/>
  <c r="I320" i="1"/>
  <c r="I230" i="1"/>
  <c r="I229" i="1"/>
  <c r="I228" i="1"/>
  <c r="I227" i="1"/>
  <c r="I80" i="1"/>
  <c r="I71" i="1"/>
  <c r="I266" i="1"/>
  <c r="I345" i="1"/>
  <c r="I344" i="1"/>
  <c r="I343" i="1"/>
  <c r="I42" i="1"/>
  <c r="I41" i="1"/>
  <c r="I225" i="1"/>
  <c r="I357" i="1"/>
  <c r="I154" i="1"/>
  <c r="I153" i="1"/>
  <c r="I152" i="1"/>
  <c r="I151" i="1"/>
  <c r="I191" i="1"/>
  <c r="I190" i="1"/>
  <c r="I272" i="1"/>
  <c r="I274" i="1"/>
  <c r="I295" i="1"/>
  <c r="I294" i="1"/>
  <c r="I292" i="1"/>
  <c r="I66" i="1"/>
  <c r="I37" i="1"/>
  <c r="I36" i="1"/>
  <c r="I159" i="1"/>
  <c r="I356" i="1"/>
  <c r="I92" i="1"/>
  <c r="I26" i="1"/>
  <c r="I382" i="1"/>
  <c r="I372" i="1"/>
  <c r="I371" i="1"/>
  <c r="I342" i="1"/>
  <c r="I341" i="1"/>
  <c r="I340" i="1"/>
  <c r="I4" i="1"/>
  <c r="I122" i="1"/>
  <c r="I339" i="1"/>
  <c r="I334" i="1"/>
  <c r="I333" i="1"/>
  <c r="I265" i="1"/>
  <c r="I271" i="1"/>
  <c r="I267" i="1"/>
  <c r="I173" i="1"/>
  <c r="I174" i="1"/>
  <c r="I172" i="1"/>
  <c r="I171" i="1"/>
  <c r="I170" i="1"/>
  <c r="I188" i="1"/>
  <c r="I209" i="1"/>
  <c r="I187" i="1"/>
  <c r="I186" i="1"/>
  <c r="I185" i="1"/>
  <c r="I14" i="1"/>
  <c r="I30" i="1"/>
  <c r="I13" i="1"/>
  <c r="I12" i="1"/>
  <c r="I114" i="1"/>
  <c r="I11" i="1"/>
  <c r="I10" i="1"/>
  <c r="I39" i="1"/>
  <c r="I392" i="1"/>
  <c r="I166" i="1"/>
  <c r="I284" i="1"/>
  <c r="I256" i="1"/>
  <c r="I249" i="1"/>
  <c r="I16" i="1"/>
  <c r="I15" i="1"/>
  <c r="I308" i="1"/>
  <c r="I316" i="1"/>
  <c r="I315" i="1"/>
  <c r="I319" i="1"/>
  <c r="I70" i="1"/>
  <c r="I268" i="1"/>
  <c r="I244" i="1"/>
  <c r="I314" i="1"/>
  <c r="I331" i="1"/>
  <c r="I397" i="1"/>
  <c r="I369" i="1"/>
  <c r="I222" i="1"/>
  <c r="I283" i="1"/>
  <c r="I165" i="1"/>
  <c r="I91" i="1"/>
  <c r="I282" i="1"/>
  <c r="I313" i="1"/>
  <c r="I218" i="1"/>
  <c r="I318" i="1"/>
  <c r="I298" i="1"/>
  <c r="I297" i="1"/>
  <c r="I164" i="1"/>
  <c r="I254" i="1"/>
  <c r="I253" i="1"/>
  <c r="I248" i="1"/>
  <c r="I312" i="1"/>
  <c r="I169" i="1"/>
  <c r="I117" i="1"/>
  <c r="I311" i="1"/>
  <c r="I310" i="1"/>
  <c r="I309" i="1"/>
  <c r="I28" i="1"/>
  <c r="I252" i="1"/>
  <c r="I251" i="1"/>
  <c r="I255" i="1"/>
  <c r="I317" i="1"/>
  <c r="I307" i="1"/>
  <c r="I306" i="1"/>
  <c r="I305" i="1"/>
  <c r="I304" i="1"/>
  <c r="I168" i="1"/>
  <c r="I303" i="1"/>
  <c r="I302" i="1"/>
  <c r="I301" i="1"/>
  <c r="I300" i="1"/>
  <c r="I330" i="1"/>
  <c r="I299" i="1"/>
</calcChain>
</file>

<file path=xl/sharedStrings.xml><?xml version="1.0" encoding="utf-8"?>
<sst xmlns="http://schemas.openxmlformats.org/spreadsheetml/2006/main" count="6617" uniqueCount="2071">
  <si>
    <t>MARCA</t>
  </si>
  <si>
    <t>MODELO</t>
  </si>
  <si>
    <t>Año</t>
  </si>
  <si>
    <t>Atril</t>
  </si>
  <si>
    <t>VIDRIO</t>
  </si>
  <si>
    <t>OBSERVACION</t>
  </si>
  <si>
    <t>Stock</t>
  </si>
  <si>
    <t>COSTO COMPRA</t>
  </si>
  <si>
    <t>PRECIO VENTA</t>
  </si>
  <si>
    <t>PEUGEOT</t>
  </si>
  <si>
    <t>2004&gt;</t>
  </si>
  <si>
    <t>PB</t>
  </si>
  <si>
    <t>SCANIA</t>
  </si>
  <si>
    <t>LUNETA</t>
  </si>
  <si>
    <t>1983-1997</t>
  </si>
  <si>
    <t>1999-&gt;</t>
  </si>
  <si>
    <t>1998&gt;</t>
  </si>
  <si>
    <t>2007&gt;</t>
  </si>
  <si>
    <t>HINO</t>
  </si>
  <si>
    <t>2013&gt;</t>
  </si>
  <si>
    <t>186*86</t>
  </si>
  <si>
    <t>SIN SENSOR MAS ECONOMICO</t>
  </si>
  <si>
    <t>1995&gt;</t>
  </si>
  <si>
    <t>1996-1998</t>
  </si>
  <si>
    <t>SEDAN</t>
  </si>
  <si>
    <t xml:space="preserve">PEUGEOT  </t>
  </si>
  <si>
    <t>1993&gt;</t>
  </si>
  <si>
    <t>A5</t>
  </si>
  <si>
    <t>2002&gt;</t>
  </si>
  <si>
    <t>2014&gt;</t>
  </si>
  <si>
    <t>MAZDA</t>
  </si>
  <si>
    <t>1994-1998</t>
  </si>
  <si>
    <t>A28</t>
  </si>
  <si>
    <t>1990-1998</t>
  </si>
  <si>
    <t>2000-2003</t>
  </si>
  <si>
    <t>CAMPEONE</t>
  </si>
  <si>
    <t>1996-2005</t>
  </si>
  <si>
    <t>1996-2004</t>
  </si>
  <si>
    <t>A17</t>
  </si>
  <si>
    <t>FIAT</t>
  </si>
  <si>
    <t>2006&gt;</t>
  </si>
  <si>
    <t>192 X 85</t>
  </si>
  <si>
    <t>LIFAN</t>
  </si>
  <si>
    <t>1998-2002</t>
  </si>
  <si>
    <t>1994-1997</t>
  </si>
  <si>
    <t xml:space="preserve">MAZDA </t>
  </si>
  <si>
    <t xml:space="preserve">MONTADO EN GOMA </t>
  </si>
  <si>
    <t>JUEJI</t>
  </si>
  <si>
    <t>MONTADO EN GOMA</t>
  </si>
  <si>
    <t>GLASS</t>
  </si>
  <si>
    <t>A128</t>
  </si>
  <si>
    <t>PARADISO</t>
  </si>
  <si>
    <t>UNICO</t>
  </si>
  <si>
    <t xml:space="preserve"> 5008  3008 C/S</t>
  </si>
  <si>
    <t>2017&gt;</t>
  </si>
  <si>
    <t>JAC</t>
  </si>
  <si>
    <t xml:space="preserve"> A13 A3 137 HEYUE J3</t>
  </si>
  <si>
    <t>2009&gt;</t>
  </si>
  <si>
    <t xml:space="preserve"> SIN SENSOR   308</t>
  </si>
  <si>
    <t>2008&gt;</t>
  </si>
  <si>
    <t>NISSAN</t>
  </si>
  <si>
    <t xml:space="preserve"> sunny SENTRA I  B12</t>
  </si>
  <si>
    <t>DAIHATSU</t>
  </si>
  <si>
    <t xml:space="preserve"> TERIOS RUSH</t>
  </si>
  <si>
    <t>2004-2018</t>
  </si>
  <si>
    <t>GRAND TIGER</t>
  </si>
  <si>
    <t xml:space="preserve"> ZX   PICK UP</t>
  </si>
  <si>
    <t>*</t>
  </si>
  <si>
    <t>/SUNNY /SENTRA B13    V16</t>
  </si>
  <si>
    <t>1993-2018</t>
  </si>
  <si>
    <t>2N</t>
  </si>
  <si>
    <t>IR</t>
  </si>
  <si>
    <t>1035 IZQUIERDO</t>
  </si>
  <si>
    <t>JIMBEI</t>
  </si>
  <si>
    <t>1040  HIACE</t>
  </si>
  <si>
    <t xml:space="preserve">VIAGGIO </t>
  </si>
  <si>
    <t>1050 DERECHO</t>
  </si>
  <si>
    <t>1050 DERECHO MOD GRANDE</t>
  </si>
  <si>
    <t>YUEJING</t>
  </si>
  <si>
    <t>1063 NJ 714</t>
  </si>
  <si>
    <t>ATRIL MOBIL</t>
  </si>
  <si>
    <t xml:space="preserve">SCANIA </t>
  </si>
  <si>
    <t>110-111</t>
  </si>
  <si>
    <t>1968-1981</t>
  </si>
  <si>
    <t>BMW</t>
  </si>
  <si>
    <t>208 2008</t>
  </si>
  <si>
    <t>2012-2019</t>
  </si>
  <si>
    <t>S/S</t>
  </si>
  <si>
    <t>LADA</t>
  </si>
  <si>
    <t>2104 2105 2106 2107</t>
  </si>
  <si>
    <t>MERCEDES BENZ</t>
  </si>
  <si>
    <t>2226    1617</t>
  </si>
  <si>
    <t>CHRYSLER. DODGE</t>
  </si>
  <si>
    <t>300.   CHARGER</t>
  </si>
  <si>
    <t>2011&gt;</t>
  </si>
  <si>
    <t>3008 C/S</t>
  </si>
  <si>
    <t>2009-2016</t>
  </si>
  <si>
    <t>301       ELYSEE</t>
  </si>
  <si>
    <t>A6</t>
  </si>
  <si>
    <t>307 s/s</t>
  </si>
  <si>
    <t>2002-2008</t>
  </si>
  <si>
    <t>C/S</t>
  </si>
  <si>
    <t>316I (323 ,325 330 F30 F35</t>
  </si>
  <si>
    <t>2012&gt;</t>
  </si>
  <si>
    <t xml:space="preserve">318 316 325 E36 </t>
  </si>
  <si>
    <t>1992-1996</t>
  </si>
  <si>
    <t>2 PTA</t>
  </si>
  <si>
    <t>MADZA</t>
  </si>
  <si>
    <t>1998-2004</t>
  </si>
  <si>
    <t>323.  / ARTIS</t>
  </si>
  <si>
    <t>1989-1994</t>
  </si>
  <si>
    <t>345 LE</t>
  </si>
  <si>
    <t>350Z</t>
  </si>
  <si>
    <t>2003&gt;</t>
  </si>
  <si>
    <t xml:space="preserve">B5 </t>
  </si>
  <si>
    <t>PROBAR PRIMERO SON DIFERENTES</t>
  </si>
  <si>
    <t>2003-2008</t>
  </si>
  <si>
    <t>MARQUEZ</t>
  </si>
  <si>
    <t>4027 PHG</t>
  </si>
  <si>
    <t>2016&gt;</t>
  </si>
  <si>
    <t>GREAT WALL</t>
  </si>
  <si>
    <t>6 SOLO MOTOR 1,5 CON SENSOR</t>
  </si>
  <si>
    <t>2011-2018</t>
  </si>
  <si>
    <t>VOLVO</t>
  </si>
  <si>
    <t>850/S80-V70</t>
  </si>
  <si>
    <t>1993-1997</t>
  </si>
  <si>
    <t>A8</t>
  </si>
  <si>
    <t>4P/SW</t>
  </si>
  <si>
    <t xml:space="preserve">CHERY </t>
  </si>
  <si>
    <t>A1 HB</t>
  </si>
  <si>
    <t>2007-2012</t>
  </si>
  <si>
    <t>B16</t>
  </si>
  <si>
    <t>AUDI</t>
  </si>
  <si>
    <t>A3</t>
  </si>
  <si>
    <t>A3  CON SENSOR</t>
  </si>
  <si>
    <t>A3 SPORT</t>
  </si>
  <si>
    <t>DONGFENG</t>
  </si>
  <si>
    <t>A30 AX3</t>
  </si>
  <si>
    <t>A4</t>
  </si>
  <si>
    <t>2012-2015</t>
  </si>
  <si>
    <t>A5 C/S</t>
  </si>
  <si>
    <t>2007-2017</t>
  </si>
  <si>
    <t>CHANGAN</t>
  </si>
  <si>
    <t>A500 A600</t>
  </si>
  <si>
    <t>HYUNDAI</t>
  </si>
  <si>
    <t>ACCENT</t>
  </si>
  <si>
    <t>1995-1999</t>
  </si>
  <si>
    <t>1999-2006</t>
  </si>
  <si>
    <t xml:space="preserve">ACCENT  </t>
  </si>
  <si>
    <t>2007-2008</t>
  </si>
  <si>
    <t>C/P</t>
  </si>
  <si>
    <t>HYUNDAI / CHANGAN</t>
  </si>
  <si>
    <t>ACCENT / CV2 (2010&gt;)</t>
  </si>
  <si>
    <t>2006-2010</t>
  </si>
  <si>
    <t>ACCENT COUPE</t>
  </si>
  <si>
    <t>2 PTA CON PERFORACION LADO IZQ</t>
  </si>
  <si>
    <t xml:space="preserve">LUNETA </t>
  </si>
  <si>
    <t xml:space="preserve">ACCENT/VERNA </t>
  </si>
  <si>
    <t xml:space="preserve"> PB</t>
  </si>
  <si>
    <t>HONDA</t>
  </si>
  <si>
    <t>ACCORD</t>
  </si>
  <si>
    <t>1985-1992</t>
  </si>
  <si>
    <t>2003-2007</t>
  </si>
  <si>
    <t>CON MOLDURA</t>
  </si>
  <si>
    <t xml:space="preserve">HONDA </t>
  </si>
  <si>
    <t>ACCORD   PROTON   PEDRANA</t>
  </si>
  <si>
    <t>2008-</t>
  </si>
  <si>
    <t xml:space="preserve">MERCEDES </t>
  </si>
  <si>
    <t xml:space="preserve">ACTROS C/SENSOR ABAJO  CABINA ANGOSTA </t>
  </si>
  <si>
    <t>2018&gt;</t>
  </si>
  <si>
    <t>MERCEDEZ</t>
  </si>
  <si>
    <t>ACTROS II</t>
  </si>
  <si>
    <t>MERCEDES</t>
  </si>
  <si>
    <t>ACTROSS C/S  ESTA LAMINADO</t>
  </si>
  <si>
    <t>SSANYONG</t>
  </si>
  <si>
    <t>ACTYON  PICK UP</t>
  </si>
  <si>
    <t>2005&gt;</t>
  </si>
  <si>
    <t xml:space="preserve">ACTYON KYRON  </t>
  </si>
  <si>
    <t>A22</t>
  </si>
  <si>
    <t>SUZUKI</t>
  </si>
  <si>
    <t>AERIO</t>
  </si>
  <si>
    <t>AERIO LIANA</t>
  </si>
  <si>
    <t>2001&gt;</t>
  </si>
  <si>
    <t>FORD</t>
  </si>
  <si>
    <t>AEROSTAR</t>
  </si>
  <si>
    <t>1986-1997</t>
  </si>
  <si>
    <t>ALFA</t>
  </si>
  <si>
    <t>ALFA ROME0 147</t>
  </si>
  <si>
    <t>ALTO</t>
  </si>
  <si>
    <t>1984-1998</t>
  </si>
  <si>
    <t>7N</t>
  </si>
  <si>
    <t>PRESENTAR</t>
  </si>
  <si>
    <t xml:space="preserve">PRESENTAR  </t>
  </si>
  <si>
    <t>B31</t>
  </si>
  <si>
    <t>ALTO 800 /  ALTO K10 2015&gt;</t>
  </si>
  <si>
    <t>VOLKSWAGEN</t>
  </si>
  <si>
    <t>AMAROK</t>
  </si>
  <si>
    <t>2010&gt;</t>
  </si>
  <si>
    <t>VERDE</t>
  </si>
  <si>
    <t>AMAROK C/S</t>
  </si>
  <si>
    <t xml:space="preserve">VOLKSWAGEN                                     </t>
  </si>
  <si>
    <t>AMAROK S/S</t>
  </si>
  <si>
    <t>CAIO</t>
  </si>
  <si>
    <t>APACHE</t>
  </si>
  <si>
    <t>DERECHO</t>
  </si>
  <si>
    <t>APPLAUSE</t>
  </si>
  <si>
    <t>1989&gt;</t>
  </si>
  <si>
    <t>A2</t>
  </si>
  <si>
    <t>FREIGHTLINER</t>
  </si>
  <si>
    <t>ARGOSY</t>
  </si>
  <si>
    <t>2005-2013</t>
  </si>
  <si>
    <t>CHERY</t>
  </si>
  <si>
    <t>ARRIZO 3</t>
  </si>
  <si>
    <t>ARRIZO5</t>
  </si>
  <si>
    <t>1997&gt;</t>
  </si>
  <si>
    <t>PUNTA CUADRADA</t>
  </si>
  <si>
    <t xml:space="preserve">CHEVROLET </t>
  </si>
  <si>
    <t>ASTRA</t>
  </si>
  <si>
    <t>1991-1998</t>
  </si>
  <si>
    <t>C74</t>
  </si>
  <si>
    <t>hb</t>
  </si>
  <si>
    <t>OPEL</t>
  </si>
  <si>
    <t xml:space="preserve">OPEL </t>
  </si>
  <si>
    <t>ASTRA GTC</t>
  </si>
  <si>
    <t>10N</t>
  </si>
  <si>
    <t>MITSUBISHI</t>
  </si>
  <si>
    <t>ASX</t>
  </si>
  <si>
    <t>MOBIL</t>
  </si>
  <si>
    <t>ATEGO / AXOR</t>
  </si>
  <si>
    <t>ATLAS</t>
  </si>
  <si>
    <t>ATOS</t>
  </si>
  <si>
    <t>B28</t>
  </si>
  <si>
    <t xml:space="preserve">ATOS PRIME  / SANTRO </t>
  </si>
  <si>
    <t>2000&gt;</t>
  </si>
  <si>
    <t>FOTON</t>
  </si>
  <si>
    <t xml:space="preserve">AUMAN </t>
  </si>
  <si>
    <t>AUMARK</t>
  </si>
  <si>
    <t xml:space="preserve">AUMARK AUMAN CTX </t>
  </si>
  <si>
    <t>TOYOTA</t>
  </si>
  <si>
    <t>AURIS</t>
  </si>
  <si>
    <t>A25</t>
  </si>
  <si>
    <t>KIA</t>
  </si>
  <si>
    <t>AVELA</t>
  </si>
  <si>
    <t>1996&gt;</t>
  </si>
  <si>
    <t>AVELLA</t>
  </si>
  <si>
    <t>CHEVROLET</t>
  </si>
  <si>
    <t>AVEO</t>
  </si>
  <si>
    <t>1N</t>
  </si>
  <si>
    <t>2004-2006</t>
  </si>
  <si>
    <t>2004-2009</t>
  </si>
  <si>
    <t>HB</t>
  </si>
  <si>
    <t>2007-2009</t>
  </si>
  <si>
    <t>BALENO</t>
  </si>
  <si>
    <t>1992-1999</t>
  </si>
  <si>
    <t>1996-2003</t>
  </si>
  <si>
    <t>1996-2002</t>
  </si>
  <si>
    <t xml:space="preserve">BENZ CLASE S W126 </t>
  </si>
  <si>
    <t>1981-1994</t>
  </si>
  <si>
    <t>CITROEN</t>
  </si>
  <si>
    <t>BERLINGO</t>
  </si>
  <si>
    <t xml:space="preserve">CITROEN </t>
  </si>
  <si>
    <t>BERLINGO   CON PERFORACION</t>
  </si>
  <si>
    <t>1996-2008</t>
  </si>
  <si>
    <t>VAN</t>
  </si>
  <si>
    <t>CITROEN / PEUGEOT</t>
  </si>
  <si>
    <t>BERLINGO / PARTNER</t>
  </si>
  <si>
    <t>2009-2018</t>
  </si>
  <si>
    <t>A15</t>
  </si>
  <si>
    <t>1997-2008</t>
  </si>
  <si>
    <t>BESTA</t>
  </si>
  <si>
    <t>1987-1991</t>
  </si>
  <si>
    <t>HAY 2 MAS QUE PRESENTAR</t>
  </si>
  <si>
    <t>PEUGEOT / FIAT / CITROEN</t>
  </si>
  <si>
    <t>BIPPER /  FIORINO CITY / QUBO / NEMO</t>
  </si>
  <si>
    <t>A33</t>
  </si>
  <si>
    <t>BLAZER / S10</t>
  </si>
  <si>
    <t>1983-1988</t>
  </si>
  <si>
    <t>B97</t>
  </si>
  <si>
    <t>BLAZER 2 PERFO</t>
  </si>
  <si>
    <t>BLUEBIRD / ALTIMA</t>
  </si>
  <si>
    <t>1991-1996</t>
  </si>
  <si>
    <t>BONGO  BRAWNY/ BESTAS/ ASIA TOPIC</t>
  </si>
  <si>
    <t>BUSCAR PARA CUAL MAS SIRVE</t>
  </si>
  <si>
    <t>BONGO K300 K2500 K2700 FRONTIER</t>
  </si>
  <si>
    <t>BORA</t>
  </si>
  <si>
    <t>2000-2008</t>
  </si>
  <si>
    <t>BORA GOLF A4/JETA</t>
  </si>
  <si>
    <t>1998-2006</t>
  </si>
  <si>
    <t>BRAVO</t>
  </si>
  <si>
    <t>D12</t>
  </si>
  <si>
    <t>BT50  1999/FORD RANGER THAILANDIA</t>
  </si>
  <si>
    <t>CITROEN / PEUGEOT / TOYOTA / BYD</t>
  </si>
  <si>
    <t>C1 / 107 / AYGO /F0</t>
  </si>
  <si>
    <t>C15</t>
  </si>
  <si>
    <t>MERCEDESD</t>
  </si>
  <si>
    <t xml:space="preserve">C240  CW202 </t>
  </si>
  <si>
    <t>1994-2000</t>
  </si>
  <si>
    <t>C3</t>
  </si>
  <si>
    <t>2002-2010</t>
  </si>
  <si>
    <t>C3 C4 ?¿'?¿?¿?¿</t>
  </si>
  <si>
    <t>C30  S40 V40  V50</t>
  </si>
  <si>
    <t>2003-2013</t>
  </si>
  <si>
    <t>C4</t>
  </si>
  <si>
    <t>2005-2007</t>
  </si>
  <si>
    <t xml:space="preserve">C4 </t>
  </si>
  <si>
    <t>2010-2019</t>
  </si>
  <si>
    <t xml:space="preserve"> S/s</t>
  </si>
  <si>
    <t>C4 SIN SENSOR</t>
  </si>
  <si>
    <t>C5</t>
  </si>
  <si>
    <t>HB 2 PTA 5PTA</t>
  </si>
  <si>
    <t>2001-2006</t>
  </si>
  <si>
    <t>IZUZU</t>
  </si>
  <si>
    <t>CABOVER TRUCK NQR NPR</t>
  </si>
  <si>
    <t>CADDY</t>
  </si>
  <si>
    <t>CALDINA AVENSIS AZ 250</t>
  </si>
  <si>
    <t>B26</t>
  </si>
  <si>
    <t>A11</t>
  </si>
  <si>
    <t>CAMARO S/S</t>
  </si>
  <si>
    <t>2010-2015</t>
  </si>
  <si>
    <t>B11</t>
  </si>
  <si>
    <t>CANTER</t>
  </si>
  <si>
    <t>B95</t>
  </si>
  <si>
    <t>B98</t>
  </si>
  <si>
    <t>MITSUBISHI / HYUDAI</t>
  </si>
  <si>
    <t>CANTER MIGHTY (1985-1994)</t>
  </si>
  <si>
    <t>CAPTIVA</t>
  </si>
  <si>
    <t>2006-2018</t>
  </si>
  <si>
    <t>MOVIL</t>
  </si>
  <si>
    <t>2019&gt;</t>
  </si>
  <si>
    <t>A30</t>
  </si>
  <si>
    <t>CAPTIVA S/S</t>
  </si>
  <si>
    <t xml:space="preserve">RENAULT SAMSUNG </t>
  </si>
  <si>
    <t>2013-2019</t>
  </si>
  <si>
    <t>A32</t>
  </si>
  <si>
    <t>DODGE</t>
  </si>
  <si>
    <t>CARAVAN</t>
  </si>
  <si>
    <t>1984-1994</t>
  </si>
  <si>
    <t>CARENS</t>
  </si>
  <si>
    <t>2006-2012</t>
  </si>
  <si>
    <t>DONGFENG / SUZUKI</t>
  </si>
  <si>
    <t>CARGO BOX / MASTER VAN CARRY</t>
  </si>
  <si>
    <t>CARGO MONTADO EN GOMA</t>
  </si>
  <si>
    <t>1986-2011</t>
  </si>
  <si>
    <t>CARGO PEGADO</t>
  </si>
  <si>
    <t>2006-2014</t>
  </si>
  <si>
    <t>1999-2005</t>
  </si>
  <si>
    <t xml:space="preserve">CARNIVAL </t>
  </si>
  <si>
    <t>CARNIVAL C/S</t>
  </si>
  <si>
    <t>CARRY</t>
  </si>
  <si>
    <t>1991-1997</t>
  </si>
  <si>
    <t>1985-1991</t>
  </si>
  <si>
    <t>SUZUKI / changan</t>
  </si>
  <si>
    <t>CARRY A100 VAN TRUCK s200 (2000-2018)</t>
  </si>
  <si>
    <t>B27</t>
  </si>
  <si>
    <t>JMC</t>
  </si>
  <si>
    <t>FREIGHLANDER</t>
  </si>
  <si>
    <t>CASCADIA</t>
  </si>
  <si>
    <t>2017 +</t>
  </si>
  <si>
    <t>CAVALIER</t>
  </si>
  <si>
    <t>CEFIRO</t>
  </si>
  <si>
    <t>1988&gt;</t>
  </si>
  <si>
    <t>CEFIRO TEANA PJ13</t>
  </si>
  <si>
    <t>CELERIO  MARUTI</t>
  </si>
  <si>
    <t>2009-2014</t>
  </si>
  <si>
    <t>CERATO</t>
  </si>
  <si>
    <t>2009-2012</t>
  </si>
  <si>
    <t>CERATO 2PTA</t>
  </si>
  <si>
    <t>CERATO K3</t>
  </si>
  <si>
    <t>2012-2018</t>
  </si>
  <si>
    <t>A20</t>
  </si>
  <si>
    <t>DAF</t>
  </si>
  <si>
    <t>CF 85 FTT/F65/F85</t>
  </si>
  <si>
    <t>CHARADE</t>
  </si>
  <si>
    <t>1993-2000</t>
  </si>
  <si>
    <t xml:space="preserve">CHARADE G100 </t>
  </si>
  <si>
    <t>1987-1993</t>
  </si>
  <si>
    <t>CHARGER</t>
  </si>
  <si>
    <t>2015&gt;</t>
  </si>
  <si>
    <t xml:space="preserve">JEEP </t>
  </si>
  <si>
    <t>CHEROKEE LIBERTY</t>
  </si>
  <si>
    <t>A34</t>
  </si>
  <si>
    <t xml:space="preserve">PB </t>
  </si>
  <si>
    <t>2002-2007</t>
  </si>
  <si>
    <t xml:space="preserve">VIN IZQUIERDO </t>
  </si>
  <si>
    <t>CHEVETTE</t>
  </si>
  <si>
    <t>1976&gt;</t>
  </si>
  <si>
    <t>CIAZ</t>
  </si>
  <si>
    <t>2016+</t>
  </si>
  <si>
    <t>CINQUECENTO</t>
  </si>
  <si>
    <t>CITY</t>
  </si>
  <si>
    <t>2014-2021</t>
  </si>
  <si>
    <t>A14</t>
  </si>
  <si>
    <t>CIVIC</t>
  </si>
  <si>
    <t>1996-2000</t>
  </si>
  <si>
    <t>CIVIC 4 PTA</t>
  </si>
  <si>
    <t>1991-1995</t>
  </si>
  <si>
    <t>GEELY</t>
  </si>
  <si>
    <t>CK</t>
  </si>
  <si>
    <t>ANDRADE</t>
  </si>
  <si>
    <t>CLASS 1000</t>
  </si>
  <si>
    <t>IZQUIERDO</t>
  </si>
  <si>
    <t>ANDARE</t>
  </si>
  <si>
    <t>CLASS 1000 DERECHO</t>
  </si>
  <si>
    <t>MP VIAGGIO</t>
  </si>
  <si>
    <t>CLASS 1050 IZQUIERD</t>
  </si>
  <si>
    <t>RENAULT</t>
  </si>
  <si>
    <t xml:space="preserve">CLIO   </t>
  </si>
  <si>
    <t>A24</t>
  </si>
  <si>
    <t>RENAULT/NISSAN</t>
  </si>
  <si>
    <t xml:space="preserve">CLIO / PLATINA </t>
  </si>
  <si>
    <t>1999-2008</t>
  </si>
  <si>
    <t>CLIO IV  SCENIC</t>
  </si>
  <si>
    <t>CON PERFORACIONES</t>
  </si>
  <si>
    <t xml:space="preserve">CLIO IV CON SENSOR </t>
  </si>
  <si>
    <t>CLIO S/PERF   SEDAN</t>
  </si>
  <si>
    <t>CM CARGO VAN</t>
  </si>
  <si>
    <t>COBALT</t>
  </si>
  <si>
    <t>COLORADO</t>
  </si>
  <si>
    <t>COLT</t>
  </si>
  <si>
    <t>1997-2001</t>
  </si>
  <si>
    <t>COLUMBIA</t>
  </si>
  <si>
    <t>COMBO</t>
  </si>
  <si>
    <t>JEEP</t>
  </si>
  <si>
    <t>COMPAS</t>
  </si>
  <si>
    <t>2007-2016</t>
  </si>
  <si>
    <t>CONQUER. ?¿?¿</t>
  </si>
  <si>
    <t>COROLLA</t>
  </si>
  <si>
    <t>2000-2007</t>
  </si>
  <si>
    <t>1995-1998</t>
  </si>
  <si>
    <t>2014-2018</t>
  </si>
  <si>
    <t>COROLLA 4PTA</t>
  </si>
  <si>
    <t>2007-2013</t>
  </si>
  <si>
    <t>CORONA</t>
  </si>
  <si>
    <t xml:space="preserve">CORSA </t>
  </si>
  <si>
    <t>CORSA C/A</t>
  </si>
  <si>
    <t>1990&gt;</t>
  </si>
  <si>
    <t>CORSA EVOLUTION / MONTANA (2000-2011)</t>
  </si>
  <si>
    <t>2000-2009</t>
  </si>
  <si>
    <t>CORSA GT</t>
  </si>
  <si>
    <t>CORSA S/A</t>
  </si>
  <si>
    <t xml:space="preserve">VOLKSWAGEN             MERCEDES                        </t>
  </si>
  <si>
    <t>CRAFTER SPRINTER</t>
  </si>
  <si>
    <t>A26</t>
  </si>
  <si>
    <t>LATERAL IZQUIERDO / DERECHO</t>
  </si>
  <si>
    <t>LATERAL IZQUIERDO</t>
  </si>
  <si>
    <t>CRETA</t>
  </si>
  <si>
    <t xml:space="preserve">CRETA S/P </t>
  </si>
  <si>
    <t>CRUZE</t>
  </si>
  <si>
    <t>2006-2017</t>
  </si>
  <si>
    <t>CRV</t>
  </si>
  <si>
    <t>2002-2006</t>
  </si>
  <si>
    <t>2013-2016</t>
  </si>
  <si>
    <t xml:space="preserve">CHANGAN </t>
  </si>
  <si>
    <t>CS35</t>
  </si>
  <si>
    <t>CS55</t>
  </si>
  <si>
    <t>CUORE MONTADO EN GOMA</t>
  </si>
  <si>
    <t>1994-</t>
  </si>
  <si>
    <t>CUORE-MIRA  PEGADO</t>
  </si>
  <si>
    <t>CV1</t>
  </si>
  <si>
    <t xml:space="preserve">CX-5 CON SENSOR LADO  DERECHO </t>
  </si>
  <si>
    <t>2013-2017</t>
  </si>
  <si>
    <t>CX-7  5 PUERTAS</t>
  </si>
  <si>
    <t xml:space="preserve">CX3 S/S </t>
  </si>
  <si>
    <t xml:space="preserve">CX5 </t>
  </si>
  <si>
    <t>CX70</t>
  </si>
  <si>
    <t>CX9</t>
  </si>
  <si>
    <t>1987&gt;</t>
  </si>
  <si>
    <t>D21 / D22  TERRANO</t>
  </si>
  <si>
    <t>1997-2004</t>
  </si>
  <si>
    <t>NISSAN / RENAULT / DONGFENG</t>
  </si>
  <si>
    <t>D23 / NAVARA / NP300 / FRONTIER / ALASKAN DF6</t>
  </si>
  <si>
    <t xml:space="preserve">S/S </t>
  </si>
  <si>
    <t>2021&gt;</t>
  </si>
  <si>
    <t>FAW</t>
  </si>
  <si>
    <t>D60</t>
  </si>
  <si>
    <t>DAF F65/F85</t>
  </si>
  <si>
    <t xml:space="preserve">IVECO </t>
  </si>
  <si>
    <t>DAILY</t>
  </si>
  <si>
    <t>1978 - 1999</t>
  </si>
  <si>
    <t xml:space="preserve">DAKOTA </t>
  </si>
  <si>
    <t>1986-1996</t>
  </si>
  <si>
    <t>DAKOTA DURANGO</t>
  </si>
  <si>
    <t>B17</t>
  </si>
  <si>
    <t>DAEWOO</t>
  </si>
  <si>
    <t>DAMAS</t>
  </si>
  <si>
    <t>1990-1997</t>
  </si>
  <si>
    <t>TOYOTA / MITSUBISHI</t>
  </si>
  <si>
    <t>DELICA / L300</t>
  </si>
  <si>
    <t>1979&gt;</t>
  </si>
  <si>
    <t>DELIVERY</t>
  </si>
  <si>
    <t>DESCONOCIDO</t>
  </si>
  <si>
    <t>PARABRISA</t>
  </si>
  <si>
    <t>SAMSUNG</t>
  </si>
  <si>
    <t>DESCONOCIDOS</t>
  </si>
  <si>
    <t xml:space="preserve">DESCONOCIDOS </t>
  </si>
  <si>
    <t xml:space="preserve">DONFENG JINGANG </t>
  </si>
  <si>
    <t>DFA1045BA01 / EQ 1030T MONTANDO EN GOMA</t>
  </si>
  <si>
    <t>DINA TRUCK</t>
  </si>
  <si>
    <t>1995-2000</t>
  </si>
  <si>
    <t>B97. B96</t>
  </si>
  <si>
    <t>DMAX</t>
  </si>
  <si>
    <t xml:space="preserve">DMAX  </t>
  </si>
  <si>
    <t>CHEVROLET GREAT WALL</t>
  </si>
  <si>
    <t>DMAX/WINGLE 3 WINGL3 5</t>
  </si>
  <si>
    <t>2003-</t>
  </si>
  <si>
    <t>DMAX/WINGLE 5/COLOR</t>
  </si>
  <si>
    <t>2003-2012</t>
  </si>
  <si>
    <t>DODGE PICK UP (DAKOTA)</t>
  </si>
  <si>
    <t>CHRYSLER</t>
  </si>
  <si>
    <t>DODGE PICK UP 1500 3500 2500</t>
  </si>
  <si>
    <t>DODGE RAM (DISTINTAS) NO SEGURO</t>
  </si>
  <si>
    <t>?</t>
  </si>
  <si>
    <t>DS3</t>
  </si>
  <si>
    <t>2010-2018</t>
  </si>
  <si>
    <t>DS4</t>
  </si>
  <si>
    <t>FIAT PEUGEOT CITROEN</t>
  </si>
  <si>
    <t>DUCATO BOXER JUMPER</t>
  </si>
  <si>
    <t>1994-2006</t>
  </si>
  <si>
    <t>1 LAMINADO</t>
  </si>
  <si>
    <t>2006-</t>
  </si>
  <si>
    <t>DURANGO</t>
  </si>
  <si>
    <t>2004-2010</t>
  </si>
  <si>
    <t>2008-2020</t>
  </si>
  <si>
    <t xml:space="preserve">DYNATRUCK(1995-2000)HINO TRUCK C.ANCHA </t>
  </si>
  <si>
    <t>E CLASS 2D W207</t>
  </si>
  <si>
    <t>E-30 SERIE 3         2P</t>
  </si>
  <si>
    <t>1984-1991</t>
  </si>
  <si>
    <t>E28 SERIE 5</t>
  </si>
  <si>
    <t>1973-1988</t>
  </si>
  <si>
    <t>E36 SERIE 3</t>
  </si>
  <si>
    <t>1992-1998</t>
  </si>
  <si>
    <t>4PTA</t>
  </si>
  <si>
    <t>E39</t>
  </si>
  <si>
    <t>E46 SERIE 3</t>
  </si>
  <si>
    <t>1999-2004</t>
  </si>
  <si>
    <t>ECLIPSE- CROSS</t>
  </si>
  <si>
    <t>ECOSPOR</t>
  </si>
  <si>
    <t>PRESENTAR PRIMERO</t>
  </si>
  <si>
    <t>ECOSPORT</t>
  </si>
  <si>
    <t>A21</t>
  </si>
  <si>
    <t>EDGE</t>
  </si>
  <si>
    <t>ELANTRA</t>
  </si>
  <si>
    <t>2001-2005</t>
  </si>
  <si>
    <t>2001-2004</t>
  </si>
  <si>
    <t>2016-2016</t>
  </si>
  <si>
    <t xml:space="preserve">ELANTRA </t>
  </si>
  <si>
    <t>ELANTRA NO SON</t>
  </si>
  <si>
    <t>&lt;2016</t>
  </si>
  <si>
    <t>ISUZU</t>
  </si>
  <si>
    <t>ELF 350 TRUCK</t>
  </si>
  <si>
    <t>1984-1993</t>
  </si>
  <si>
    <t>EMGRAND EX7 GX7</t>
  </si>
  <si>
    <t>BUICK</t>
  </si>
  <si>
    <t xml:space="preserve">GEELY </t>
  </si>
  <si>
    <t>ENGRAND EC7</t>
  </si>
  <si>
    <t>EON HB</t>
  </si>
  <si>
    <t>EPICA</t>
  </si>
  <si>
    <t>PRIVACE</t>
  </si>
  <si>
    <t>EQUINOX</t>
  </si>
  <si>
    <t>B21</t>
  </si>
  <si>
    <t xml:space="preserve">CADILLAC </t>
  </si>
  <si>
    <t>ESCALADE</t>
  </si>
  <si>
    <t>ESCAPE</t>
  </si>
  <si>
    <t>2013-2020</t>
  </si>
  <si>
    <t xml:space="preserve">FORD </t>
  </si>
  <si>
    <t xml:space="preserve">ESCAPE </t>
  </si>
  <si>
    <t>2008-2012</t>
  </si>
  <si>
    <t>A13</t>
  </si>
  <si>
    <t>ESCOR</t>
  </si>
  <si>
    <t>1997-2002</t>
  </si>
  <si>
    <t>SW</t>
  </si>
  <si>
    <t>ESCUDO / VITARA</t>
  </si>
  <si>
    <t>1989-1997</t>
  </si>
  <si>
    <t>B32</t>
  </si>
  <si>
    <t xml:space="preserve">ESCUDO VITARA / NOMADE GRAND  </t>
  </si>
  <si>
    <t>2005-2015</t>
  </si>
  <si>
    <t>ESPERO</t>
  </si>
  <si>
    <t>1992-1997</t>
  </si>
  <si>
    <t>IVECO</t>
  </si>
  <si>
    <t xml:space="preserve">EUROCARGO ML 100 120 150 160 170 180 230 </t>
  </si>
  <si>
    <t>EUROCARGO TRUCK</t>
  </si>
  <si>
    <t>1991&gt;</t>
  </si>
  <si>
    <t>EUROSTAR  POWERSTAR  TRUCK</t>
  </si>
  <si>
    <t>EUROTECH</t>
  </si>
  <si>
    <t>EXCEL</t>
  </si>
  <si>
    <t>1991-1993</t>
  </si>
  <si>
    <t>PEUGEOT CITROEN</t>
  </si>
  <si>
    <t>EXPERT TRAVELLER JUMP</t>
  </si>
  <si>
    <t>EXPLORER</t>
  </si>
  <si>
    <t>B23</t>
  </si>
  <si>
    <t xml:space="preserve">EXPLORER  </t>
  </si>
  <si>
    <t>2011-2020</t>
  </si>
  <si>
    <t>EXPLORER 3 PTA</t>
  </si>
  <si>
    <t>1990-2001</t>
  </si>
  <si>
    <t>EXPLORER C/PERFORACION</t>
  </si>
  <si>
    <t>F SERIES F150</t>
  </si>
  <si>
    <t>1980-1986</t>
  </si>
  <si>
    <t xml:space="preserve">MONTADO RN GOMA </t>
  </si>
  <si>
    <t>BYD</t>
  </si>
  <si>
    <t>F0</t>
  </si>
  <si>
    <t>F100  F800 F14000  NINJA</t>
  </si>
  <si>
    <t>1967-1979</t>
  </si>
  <si>
    <t>F150</t>
  </si>
  <si>
    <t>SEGÚN MEDIDAS DERECHA</t>
  </si>
  <si>
    <t>F150 C/S Y CAMARA</t>
  </si>
  <si>
    <t>F150 RAPTOR</t>
  </si>
  <si>
    <t>2009-2015</t>
  </si>
  <si>
    <t>F150 S/S</t>
  </si>
  <si>
    <t>F20 F21 SERIE 1 F22 SERIE 2</t>
  </si>
  <si>
    <t>F32 F36 4 SERIES</t>
  </si>
  <si>
    <t>SKODA</t>
  </si>
  <si>
    <t>FABIA ROOMSTER</t>
  </si>
  <si>
    <t>FACE</t>
  </si>
  <si>
    <t>FESTIVA / PRIDE</t>
  </si>
  <si>
    <t>FH</t>
  </si>
  <si>
    <t>FH 12 C/S</t>
  </si>
  <si>
    <t>FH12 - 16  TRUCK  1998</t>
  </si>
  <si>
    <t>FIESTA</t>
  </si>
  <si>
    <t>2008-2017</t>
  </si>
  <si>
    <t>2004-2008</t>
  </si>
  <si>
    <t>FIT</t>
  </si>
  <si>
    <t>FJ</t>
  </si>
  <si>
    <t>FLORID   M4</t>
  </si>
  <si>
    <t>FOCUS</t>
  </si>
  <si>
    <t>1998-2008</t>
  </si>
  <si>
    <t>2000-2004</t>
  </si>
  <si>
    <t>SUBARU</t>
  </si>
  <si>
    <t>FORESTER</t>
  </si>
  <si>
    <t>A10</t>
  </si>
  <si>
    <t>2008-2013</t>
  </si>
  <si>
    <t>1984&gt;</t>
  </si>
  <si>
    <t xml:space="preserve">FORESTER </t>
  </si>
  <si>
    <t>FORZA</t>
  </si>
  <si>
    <t xml:space="preserve">FOTON A </t>
  </si>
  <si>
    <t>FOX</t>
  </si>
  <si>
    <t>2005-2012</t>
  </si>
  <si>
    <t>FOZ</t>
  </si>
  <si>
    <t>IZQUIERDA</t>
  </si>
  <si>
    <t>LAND ROVER</t>
  </si>
  <si>
    <t>FREELANDER</t>
  </si>
  <si>
    <t>FREELANDER-LR2</t>
  </si>
  <si>
    <t>A18</t>
  </si>
  <si>
    <t>C/S P/S C/M</t>
  </si>
  <si>
    <t>FRONTIER 2700 K3600</t>
  </si>
  <si>
    <t>&lt;2005</t>
  </si>
  <si>
    <t>FTR FVR</t>
  </si>
  <si>
    <t>1994&gt;</t>
  </si>
  <si>
    <t>MG</t>
  </si>
  <si>
    <t>G3</t>
  </si>
  <si>
    <t xml:space="preserve">FOTON </t>
  </si>
  <si>
    <t>G7</t>
  </si>
  <si>
    <t>GALAN</t>
  </si>
  <si>
    <t>1998-2005</t>
  </si>
  <si>
    <t>GALANT</t>
  </si>
  <si>
    <t>GALLOPER(MONTERO1984-1991 3PTA/5PTA) MONTADO EN GOMA</t>
  </si>
  <si>
    <t>GETZ</t>
  </si>
  <si>
    <t>S/P</t>
  </si>
  <si>
    <t>GIRO 100</t>
  </si>
  <si>
    <t>GLASS 1000 IZQUIERDO G6</t>
  </si>
  <si>
    <t>GAC</t>
  </si>
  <si>
    <t>GNOW WAY</t>
  </si>
  <si>
    <t>A38</t>
  </si>
  <si>
    <t>GOL</t>
  </si>
  <si>
    <t>1996-1999</t>
  </si>
  <si>
    <t>1998-</t>
  </si>
  <si>
    <t>GOL / AMAZON montado en goma</t>
  </si>
  <si>
    <t>1980-1996</t>
  </si>
  <si>
    <t>GOL SAVEIRO</t>
  </si>
  <si>
    <t>1993-2007</t>
  </si>
  <si>
    <t>GOL VOYAGE  SAVEIRO</t>
  </si>
  <si>
    <t xml:space="preserve">GOLF  </t>
  </si>
  <si>
    <t>GOLF   C/S</t>
  </si>
  <si>
    <t>GOLF - VENTO</t>
  </si>
  <si>
    <t>CALUGA ARRIBA</t>
  </si>
  <si>
    <t>GOLF C/PERF</t>
  </si>
  <si>
    <t>B1</t>
  </si>
  <si>
    <t>HB 5P</t>
  </si>
  <si>
    <t>1999-2010</t>
  </si>
  <si>
    <t>HB 3P /5P</t>
  </si>
  <si>
    <t>GOLF C/S</t>
  </si>
  <si>
    <t>GRAN CHEROKEE</t>
  </si>
  <si>
    <t>1993-1998</t>
  </si>
  <si>
    <t>B5</t>
  </si>
  <si>
    <t>GRAN MOVE</t>
  </si>
  <si>
    <t>JEEP DODGE</t>
  </si>
  <si>
    <t>GRAND CHEROKEE  / DURANGO</t>
  </si>
  <si>
    <t>GRAND I10</t>
  </si>
  <si>
    <t xml:space="preserve">HYUNDAI </t>
  </si>
  <si>
    <t>9N</t>
  </si>
  <si>
    <t>GRAND NOMADE</t>
  </si>
  <si>
    <t>GRAND VITARA</t>
  </si>
  <si>
    <t>GRAND VITARA  GRAND NOMADE  XL7 (98-2006)</t>
  </si>
  <si>
    <t>GRANDE PUNTO</t>
  </si>
  <si>
    <t>GS</t>
  </si>
  <si>
    <t>GT</t>
  </si>
  <si>
    <t>H1</t>
  </si>
  <si>
    <t>1997-2007</t>
  </si>
  <si>
    <t>H1 / STAREX H300</t>
  </si>
  <si>
    <t xml:space="preserve">ATRIL 1 </t>
  </si>
  <si>
    <t>HYUNDAI  JAC</t>
  </si>
  <si>
    <t>H1 ESTAREX   (REFINE 2010-2016)</t>
  </si>
  <si>
    <t>H1 NEW</t>
  </si>
  <si>
    <t>H100 GRACE MONTADA EN GOMA</t>
  </si>
  <si>
    <t>1998-2003</t>
  </si>
  <si>
    <t>H100 PORTER GRACE</t>
  </si>
  <si>
    <t>1993-2003</t>
  </si>
  <si>
    <t>H100 PORTER NEW</t>
  </si>
  <si>
    <t>BRILLANCE</t>
  </si>
  <si>
    <t>H220- H230</t>
  </si>
  <si>
    <t xml:space="preserve">BRILLIANCE </t>
  </si>
  <si>
    <t>H230 H220</t>
  </si>
  <si>
    <t>B18</t>
  </si>
  <si>
    <t>HUMMER</t>
  </si>
  <si>
    <t>H3</t>
  </si>
  <si>
    <t>HAVAL H2</t>
  </si>
  <si>
    <t>HD120</t>
  </si>
  <si>
    <t>HIACE</t>
  </si>
  <si>
    <t>2006-2019</t>
  </si>
  <si>
    <t>HILUX</t>
  </si>
  <si>
    <t>1988-1997</t>
  </si>
  <si>
    <t>1988-</t>
  </si>
  <si>
    <t>HILUX  (JAC T6 (2013-2015)) FORTUNER</t>
  </si>
  <si>
    <t>HILUX REVO  / FORTUNER (2015)</t>
  </si>
  <si>
    <t>HILUX RUNNER 95-2002</t>
  </si>
  <si>
    <t>HILUX/T8</t>
  </si>
  <si>
    <t>HILUX/T8/VIGUS</t>
  </si>
  <si>
    <t>HINO FB FC</t>
  </si>
  <si>
    <t>HIVO</t>
  </si>
  <si>
    <t>HINO RANGER TRUCK</t>
  </si>
  <si>
    <t>1995-</t>
  </si>
  <si>
    <t>HINO RISING RANGER CABOVER TRUCK</t>
  </si>
  <si>
    <t xml:space="preserve">HOVER </t>
  </si>
  <si>
    <t xml:space="preserve">HOVER H3/ H4/ H5/ X240 (2005-2009)    </t>
  </si>
  <si>
    <t>SIN SENSOR</t>
  </si>
  <si>
    <t>NEO BUS</t>
  </si>
  <si>
    <t>HUNDER</t>
  </si>
  <si>
    <t>I10</t>
  </si>
  <si>
    <t>2008-2014</t>
  </si>
  <si>
    <t>SEAT</t>
  </si>
  <si>
    <t>IBIZA</t>
  </si>
  <si>
    <t>IGNIS</t>
  </si>
  <si>
    <t>IMPREZA</t>
  </si>
  <si>
    <t>1992-2001</t>
  </si>
  <si>
    <t>2017-</t>
  </si>
  <si>
    <t>1993-2001</t>
  </si>
  <si>
    <t>serie B1800-2200</t>
  </si>
  <si>
    <t>1985-1998</t>
  </si>
  <si>
    <t>INTEGRA COUPE</t>
  </si>
  <si>
    <t>CON DETALLE</t>
  </si>
  <si>
    <t>J 31 TEANA. / SM5</t>
  </si>
  <si>
    <t xml:space="preserve">jac </t>
  </si>
  <si>
    <t>J4</t>
  </si>
  <si>
    <t xml:space="preserve">JETTA  /A6 </t>
  </si>
  <si>
    <t>JINGANG  ?¡¡¿¿</t>
  </si>
  <si>
    <t>C26</t>
  </si>
  <si>
    <t>JINMY</t>
  </si>
  <si>
    <t xml:space="preserve">DODGE </t>
  </si>
  <si>
    <t>JOURNEY / FREEMONT</t>
  </si>
  <si>
    <t>JOYEAR X3</t>
  </si>
  <si>
    <t>JUKE F15</t>
  </si>
  <si>
    <t xml:space="preserve">C/S </t>
  </si>
  <si>
    <t>JUMPY EXPERT</t>
  </si>
  <si>
    <t>CITROEN PEUGEOT TOYOTA</t>
  </si>
  <si>
    <t>JUMPY SAPCE TOURER PEUGEOT EXPERT PREACE</t>
  </si>
  <si>
    <t>JUSTY</t>
  </si>
  <si>
    <t>1984-1992</t>
  </si>
  <si>
    <t>3 PTA  5PTA</t>
  </si>
  <si>
    <t>1988-1994</t>
  </si>
  <si>
    <t>K3500 4000 3600</t>
  </si>
  <si>
    <t>KA</t>
  </si>
  <si>
    <t>KANGO</t>
  </si>
  <si>
    <t>RENAULT  / MERCEDES</t>
  </si>
  <si>
    <t>A29</t>
  </si>
  <si>
    <t>KERAX-PREMIUN</t>
  </si>
  <si>
    <t xml:space="preserve">RENAULT </t>
  </si>
  <si>
    <t>KEREX/PREMIUM TRUCK  1996-/VOLVO FE 2007-</t>
  </si>
  <si>
    <t>KICKS</t>
  </si>
  <si>
    <t>KORANDO</t>
  </si>
  <si>
    <t>L200</t>
  </si>
  <si>
    <t>1987-1998</t>
  </si>
  <si>
    <t>1 con raya</t>
  </si>
  <si>
    <t xml:space="preserve">L200/  KATANA </t>
  </si>
  <si>
    <t>1989-1998</t>
  </si>
  <si>
    <t>RAYADO</t>
  </si>
  <si>
    <t>LAGUNA II  /  EXPRESION</t>
  </si>
  <si>
    <t>LANCER</t>
  </si>
  <si>
    <t>1979-1986</t>
  </si>
  <si>
    <t xml:space="preserve">LANCER </t>
  </si>
  <si>
    <t>LANCER GLX</t>
  </si>
  <si>
    <t>LANCER RT</t>
  </si>
  <si>
    <t>ZX</t>
  </si>
  <si>
    <t>LAND MARK</t>
  </si>
  <si>
    <t>LANOS</t>
  </si>
  <si>
    <t>C2 /C3</t>
  </si>
  <si>
    <t>1995-2001</t>
  </si>
  <si>
    <t>HB.</t>
  </si>
  <si>
    <t>RENAULT / SAMSUMG</t>
  </si>
  <si>
    <t xml:space="preserve">LATITUDE / </t>
  </si>
  <si>
    <t>DETALLE</t>
  </si>
  <si>
    <t>LC</t>
  </si>
  <si>
    <t>LEGACY</t>
  </si>
  <si>
    <t>LEGACY G1</t>
  </si>
  <si>
    <t>1989-93</t>
  </si>
  <si>
    <t>LEGACY OUTBACK</t>
  </si>
  <si>
    <t>2010-2014</t>
  </si>
  <si>
    <t>2003-2009</t>
  </si>
  <si>
    <t xml:space="preserve">SUBARU </t>
  </si>
  <si>
    <t>1993-1999</t>
  </si>
  <si>
    <t xml:space="preserve">C/S C/M C/D </t>
  </si>
  <si>
    <t>LEONE</t>
  </si>
  <si>
    <t>LIBERTY  2 PERFORACIONES ARRIBA</t>
  </si>
  <si>
    <t>DONFENG  LIFAN</t>
  </si>
  <si>
    <t>LIFAN VAN60</t>
  </si>
  <si>
    <t>LOGAN</t>
  </si>
  <si>
    <t>LOYALE</t>
  </si>
  <si>
    <t>LUV</t>
  </si>
  <si>
    <t>1990-2004</t>
  </si>
  <si>
    <t>1981-1988</t>
  </si>
  <si>
    <t>1972-1980</t>
  </si>
  <si>
    <t>LUV(GRETA WALL SOCOOL 2008-)</t>
  </si>
  <si>
    <t>1988-2004</t>
  </si>
  <si>
    <t>M2 106 AX2 37 KMB2</t>
  </si>
  <si>
    <t>MAGENTIS</t>
  </si>
  <si>
    <t>MANDEO</t>
  </si>
  <si>
    <t>C57</t>
  </si>
  <si>
    <t>MARCH</t>
  </si>
  <si>
    <t>MAREA 4 PTA</t>
  </si>
  <si>
    <t>MARUTI 800</t>
  </si>
  <si>
    <t>CHEVROLET / DAEWOO</t>
  </si>
  <si>
    <t xml:space="preserve">MATIZ /spark </t>
  </si>
  <si>
    <t>DAEWOO  CHERY</t>
  </si>
  <si>
    <t>MAVERICK</t>
  </si>
  <si>
    <t>1970-1977</t>
  </si>
  <si>
    <t>MAZDA 2  DEMIO</t>
  </si>
  <si>
    <t>MAZDA 2 DEMIO</t>
  </si>
  <si>
    <t>2007-2015</t>
  </si>
  <si>
    <t>MAZDA 3</t>
  </si>
  <si>
    <t>C/S DESPLAZADO</t>
  </si>
  <si>
    <t>A16</t>
  </si>
  <si>
    <t>C/M SEDAN/HBK</t>
  </si>
  <si>
    <t>2010-2013</t>
  </si>
  <si>
    <t>C/S DERECHO</t>
  </si>
  <si>
    <t>C/S CENTRO</t>
  </si>
  <si>
    <t>MAZDA 3 AXELEA</t>
  </si>
  <si>
    <t>MAZDA 3 S/SENSOR</t>
  </si>
  <si>
    <t>2009-2013</t>
  </si>
  <si>
    <t>MAZDA 5  MPV</t>
  </si>
  <si>
    <t>MAZDA 5 C/SENSOR</t>
  </si>
  <si>
    <t>MAZDA 6</t>
  </si>
  <si>
    <t>MAZDA 6 C/S ???</t>
  </si>
  <si>
    <t>??</t>
  </si>
  <si>
    <t>MAZDA 626</t>
  </si>
  <si>
    <t>1988-1993</t>
  </si>
  <si>
    <t>MAZDA CX-5</t>
  </si>
  <si>
    <t>CIN SENSIR DERECHO</t>
  </si>
  <si>
    <t>MAZDA NEW 6</t>
  </si>
  <si>
    <t>MD201 MS201 M201</t>
  </si>
  <si>
    <t>MEGANE</t>
  </si>
  <si>
    <t>MEGANE II</t>
  </si>
  <si>
    <t>MEGANE SCENIC II. C/S</t>
  </si>
  <si>
    <t>RARO</t>
  </si>
  <si>
    <t>MG 3</t>
  </si>
  <si>
    <t>MG 5</t>
  </si>
  <si>
    <t>2020&gt;</t>
  </si>
  <si>
    <t>MIGHTY / HD65 / HD35 MONTADO EN GOMA</t>
  </si>
  <si>
    <t>1998-2020</t>
  </si>
  <si>
    <t>MEDIDAS 75CM X 148 CM</t>
  </si>
  <si>
    <t xml:space="preserve">MIGHTY HD 72/68/65 MONTADO EN GOMA </t>
  </si>
  <si>
    <t>1999&gt;</t>
  </si>
  <si>
    <t>MIGHTY HD65 HD 72</t>
  </si>
  <si>
    <t>ES CORTA</t>
  </si>
  <si>
    <t>HYUNDA</t>
  </si>
  <si>
    <t>MIGTY HD 78</t>
  </si>
  <si>
    <t>HAFEI</t>
  </si>
  <si>
    <t>MINDY MINYI</t>
  </si>
  <si>
    <t>PUNTA REDONDA</t>
  </si>
  <si>
    <t>BENBEN CHANGAN</t>
  </si>
  <si>
    <t>MINI</t>
  </si>
  <si>
    <t>MINI 1G 2G ?¿?¿</t>
  </si>
  <si>
    <t>BMW NINI</t>
  </si>
  <si>
    <t>MINI COOPER</t>
  </si>
  <si>
    <t>MINYI FURGON HF10</t>
  </si>
  <si>
    <t>PUNTA CUADRADA 5D</t>
  </si>
  <si>
    <t xml:space="preserve">MIRAGE </t>
  </si>
  <si>
    <t>MIRAGE COUPE</t>
  </si>
  <si>
    <t>1997-1999</t>
  </si>
  <si>
    <t>MISTRAL II</t>
  </si>
  <si>
    <t>MOHAVE</t>
  </si>
  <si>
    <t>MONTADO EN GOMA DESCONOCIDO</t>
  </si>
  <si>
    <t>MONTANA AGILE</t>
  </si>
  <si>
    <t>1992-2000</t>
  </si>
  <si>
    <t>MONTERO 2 PUERTAS</t>
  </si>
  <si>
    <t>MONTERO SPORT 5 PTA      L200 (1999-2005)</t>
  </si>
  <si>
    <t>1997-2010</t>
  </si>
  <si>
    <t>CELIGRAFIAS DIFERENTES</t>
  </si>
  <si>
    <t>MONZA</t>
  </si>
  <si>
    <t>1983-1994</t>
  </si>
  <si>
    <t>MORNING</t>
  </si>
  <si>
    <t>MORNING / PICANTO</t>
  </si>
  <si>
    <t>MORNING PICANTO</t>
  </si>
  <si>
    <t>MPV</t>
  </si>
  <si>
    <t>1989-1999</t>
  </si>
  <si>
    <t xml:space="preserve"> </t>
  </si>
  <si>
    <t xml:space="preserve">MUSSO REXTON </t>
  </si>
  <si>
    <t>N300/ LIFAN CARGO FOISON</t>
  </si>
  <si>
    <t>N400</t>
  </si>
  <si>
    <t>NATIVA PAJERO SPORT</t>
  </si>
  <si>
    <t>5 PTA SUV</t>
  </si>
  <si>
    <t xml:space="preserve">NAVARA  </t>
  </si>
  <si>
    <t>2006-2015</t>
  </si>
  <si>
    <t>NAVARA/FRONTIER</t>
  </si>
  <si>
    <t>NAVISTER</t>
  </si>
  <si>
    <t xml:space="preserve">NEW BEETLE </t>
  </si>
  <si>
    <t>2003- 2010</t>
  </si>
  <si>
    <t>NEW H1 S/PERFORA</t>
  </si>
  <si>
    <t xml:space="preserve">FIAT </t>
  </si>
  <si>
    <t>NEW PALIO</t>
  </si>
  <si>
    <t>NEW TUCSON</t>
  </si>
  <si>
    <t>NHR NKR</t>
  </si>
  <si>
    <t>NITRO</t>
  </si>
  <si>
    <t xml:space="preserve">NIVA </t>
  </si>
  <si>
    <t>1984-1995</t>
  </si>
  <si>
    <t>YUEJIN</t>
  </si>
  <si>
    <t>NJ 1062</t>
  </si>
  <si>
    <t>NOTE</t>
  </si>
  <si>
    <t>NPR</t>
  </si>
  <si>
    <t>1994-2007</t>
  </si>
  <si>
    <t>NUBIRA</t>
  </si>
  <si>
    <t xml:space="preserve">NV350  </t>
  </si>
  <si>
    <t>NV350 CARAVAN</t>
  </si>
  <si>
    <t>ONIX PRISMA</t>
  </si>
  <si>
    <t>2016-2020</t>
  </si>
  <si>
    <t>OPIRUS</t>
  </si>
  <si>
    <t>OPTIMA  C/S</t>
  </si>
  <si>
    <t>OPTIMA / MAGENTIS S/S</t>
  </si>
  <si>
    <t>OPTRA/NUBIRA</t>
  </si>
  <si>
    <t>ORLANDO</t>
  </si>
  <si>
    <t>OUTLANDER</t>
  </si>
  <si>
    <t>PROBAR</t>
  </si>
  <si>
    <t>PAJERO MONTERO JEEP</t>
  </si>
  <si>
    <t>PALIO HB</t>
  </si>
  <si>
    <t>2005-</t>
  </si>
  <si>
    <t>SIMIDR</t>
  </si>
  <si>
    <t>PANORAMICO</t>
  </si>
  <si>
    <t>PASSAT</t>
  </si>
  <si>
    <t>PASSAT B5</t>
  </si>
  <si>
    <t>PATHFINDER</t>
  </si>
  <si>
    <t>MAHINDRA</t>
  </si>
  <si>
    <t>PILOT</t>
  </si>
  <si>
    <t>2009-</t>
  </si>
  <si>
    <t xml:space="preserve">PILOT RIDGELINE  </t>
  </si>
  <si>
    <t>PILOT RIDGELINE C/S C/C</t>
  </si>
  <si>
    <t>BAIC</t>
  </si>
  <si>
    <t>PLUSS VAN</t>
  </si>
  <si>
    <t>POLO</t>
  </si>
  <si>
    <t>pb</t>
  </si>
  <si>
    <t>2010-2017</t>
  </si>
  <si>
    <t>VOLKWAGEN</t>
  </si>
  <si>
    <t>2018-</t>
  </si>
  <si>
    <t>POLO C/PERF</t>
  </si>
  <si>
    <t>2001-2003</t>
  </si>
  <si>
    <t>5PTA</t>
  </si>
  <si>
    <t>VOLKSWAGEN  /SEAT                               CLASS POLO- IBIZA</t>
  </si>
  <si>
    <t>POLO CLASSI/IBIZA HBK</t>
  </si>
  <si>
    <t>1999-2009</t>
  </si>
  <si>
    <t>POP 2PTA</t>
  </si>
  <si>
    <t>POP PRIDE</t>
  </si>
  <si>
    <t>1991-2000</t>
  </si>
  <si>
    <t>PORTER H100</t>
  </si>
  <si>
    <t>PREMACY -5  MAZDA 5 C/M C/S</t>
  </si>
  <si>
    <t>PREMIUM</t>
  </si>
  <si>
    <t>PRIMERA</t>
  </si>
  <si>
    <t>1990-1995</t>
  </si>
  <si>
    <t xml:space="preserve">PRIMERA. ?¿?¿ </t>
  </si>
  <si>
    <t>PRISMA ONIX C/S</t>
  </si>
  <si>
    <t xml:space="preserve">PUNTO </t>
  </si>
  <si>
    <t xml:space="preserve">AUDI </t>
  </si>
  <si>
    <t>Q3</t>
  </si>
  <si>
    <t>B7</t>
  </si>
  <si>
    <t>Q5</t>
  </si>
  <si>
    <t>QASHQAI</t>
  </si>
  <si>
    <t xml:space="preserve">NISSAN </t>
  </si>
  <si>
    <t>QQ/IQ/S15</t>
  </si>
  <si>
    <t>R7</t>
  </si>
  <si>
    <t>RACER</t>
  </si>
  <si>
    <t>RACER  POINTER</t>
  </si>
  <si>
    <t>1986-2002</t>
  </si>
  <si>
    <t>RAM 1500 2500 3500</t>
  </si>
  <si>
    <t>RAM DERECHA</t>
  </si>
  <si>
    <t>CAJON</t>
  </si>
  <si>
    <t>RAM LUNETA IZQ</t>
  </si>
  <si>
    <t>RANGER</t>
  </si>
  <si>
    <t>A37</t>
  </si>
  <si>
    <t>S/D</t>
  </si>
  <si>
    <t>FORD / MAZDA</t>
  </si>
  <si>
    <t xml:space="preserve">RANGER / BT50 / </t>
  </si>
  <si>
    <t>RANGER 2D PICKUP</t>
  </si>
  <si>
    <t>ATRIL NEGRO</t>
  </si>
  <si>
    <t>LANDROVER</t>
  </si>
  <si>
    <t>RANGEROVER SPORT</t>
  </si>
  <si>
    <t>2006-2013</t>
  </si>
  <si>
    <t>RAV 4</t>
  </si>
  <si>
    <t>2013-2018</t>
  </si>
  <si>
    <t>2002-2004</t>
  </si>
  <si>
    <t>2000-2005</t>
  </si>
  <si>
    <t>C73</t>
  </si>
  <si>
    <t xml:space="preserve">TOYOTA </t>
  </si>
  <si>
    <t>RAV 4 SIN SENSOR</t>
  </si>
  <si>
    <t>REFINE -S2  S/S</t>
  </si>
  <si>
    <t>SIN MOLDURA</t>
  </si>
  <si>
    <t>BAIC HYUNDAI</t>
  </si>
  <si>
    <t>REINA VERNA</t>
  </si>
  <si>
    <t>RENEGADE</t>
  </si>
  <si>
    <t>REXTON</t>
  </si>
  <si>
    <t>2002-2017</t>
  </si>
  <si>
    <t>C/D</t>
  </si>
  <si>
    <t xml:space="preserve">SSANYONG </t>
  </si>
  <si>
    <t>RIO</t>
  </si>
  <si>
    <t>2012-2017</t>
  </si>
  <si>
    <t>2005-2011</t>
  </si>
  <si>
    <t>2011-2017</t>
  </si>
  <si>
    <t>RIO  SEDAN</t>
  </si>
  <si>
    <t>RIO 1.5</t>
  </si>
  <si>
    <t>ANTIGUO</t>
  </si>
  <si>
    <t>RIO/ 4P/5/P</t>
  </si>
  <si>
    <t>RX8</t>
  </si>
  <si>
    <t>S10 / BLAZER</t>
  </si>
  <si>
    <t>1994-2005</t>
  </si>
  <si>
    <t>S2</t>
  </si>
  <si>
    <t>S/M</t>
  </si>
  <si>
    <t>S21 ?¿?¿</t>
  </si>
  <si>
    <t>S3 REFINE</t>
  </si>
  <si>
    <t>2014-2019</t>
  </si>
  <si>
    <t>S30</t>
  </si>
  <si>
    <t>S40</t>
  </si>
  <si>
    <t>SAIL</t>
  </si>
  <si>
    <t>SAIL  (2010-2014)</t>
  </si>
  <si>
    <t>SAIL (AVEO 2018&gt;)</t>
  </si>
  <si>
    <t>SAMARA</t>
  </si>
  <si>
    <t>1986&gt;</t>
  </si>
  <si>
    <t>SANDERO DUSTER (OROCH 2018&gt;)</t>
  </si>
  <si>
    <t>B24</t>
  </si>
  <si>
    <t>SANTA FE</t>
  </si>
  <si>
    <t>B12</t>
  </si>
  <si>
    <t>A19</t>
  </si>
  <si>
    <t xml:space="preserve">SANTA FE </t>
  </si>
  <si>
    <t>2015-2020</t>
  </si>
  <si>
    <t>A12</t>
  </si>
  <si>
    <t>SANTAMO</t>
  </si>
  <si>
    <t>SAVEIRO</t>
  </si>
  <si>
    <t xml:space="preserve">CITROEN  PEUGEOT  </t>
  </si>
  <si>
    <t>SAXO / RESTIL / 106</t>
  </si>
  <si>
    <t>1997&gt; (1991&gt;</t>
  </si>
  <si>
    <t>SCANIA SERIE -144</t>
  </si>
  <si>
    <t>SCANIA SERIE 4</t>
  </si>
  <si>
    <t>SCENIC</t>
  </si>
  <si>
    <t>SCORPIO PICKUP</t>
  </si>
  <si>
    <t>CELIGRAFIA  NUEVA</t>
  </si>
  <si>
    <t>SCORT</t>
  </si>
  <si>
    <t xml:space="preserve">SCOUPE  </t>
  </si>
  <si>
    <t>SCOUPE / TIBURON</t>
  </si>
  <si>
    <t>CRHYSLER DODGE</t>
  </si>
  <si>
    <t>SEBRIN / STRATUS</t>
  </si>
  <si>
    <t>SENTRA</t>
  </si>
  <si>
    <t xml:space="preserve">SENTRA </t>
  </si>
  <si>
    <t>1991-1992</t>
  </si>
  <si>
    <t>D2</t>
  </si>
  <si>
    <t>SENTRA  II</t>
  </si>
  <si>
    <t>SENTRA -B17 SEDAN</t>
  </si>
  <si>
    <t>SENTRA V16</t>
  </si>
  <si>
    <t>1981-1993</t>
  </si>
  <si>
    <t>SEPHIA</t>
  </si>
  <si>
    <t>SEPHIA - SPECTRA</t>
  </si>
  <si>
    <t>SERIE  E 87</t>
  </si>
  <si>
    <t>2004-2011</t>
  </si>
  <si>
    <t xml:space="preserve">SERIE 4 </t>
  </si>
  <si>
    <t>SERIE 5</t>
  </si>
  <si>
    <t xml:space="preserve">SERIE 5 CLASE RPG 380  420 </t>
  </si>
  <si>
    <t>SERIE 6</t>
  </si>
  <si>
    <t>FIAT / DODGE</t>
  </si>
  <si>
    <t>1996-2011</t>
  </si>
  <si>
    <t>SILVERADO</t>
  </si>
  <si>
    <t>SILVERADO C/S</t>
  </si>
  <si>
    <t>SILVERADO TAHOE SUBURBAN</t>
  </si>
  <si>
    <t>2000-2006</t>
  </si>
  <si>
    <t>SIRION</t>
  </si>
  <si>
    <t>SM3</t>
  </si>
  <si>
    <t>2002-2015</t>
  </si>
  <si>
    <t xml:space="preserve">SM5 RENAULT </t>
  </si>
  <si>
    <t>SM5 SM7</t>
  </si>
  <si>
    <t>SOLUTO</t>
  </si>
  <si>
    <t>SONATA</t>
  </si>
  <si>
    <t>VERIFICAR</t>
  </si>
  <si>
    <t>B8</t>
  </si>
  <si>
    <t>SONATA. SEDAN</t>
  </si>
  <si>
    <t>SORENTO</t>
  </si>
  <si>
    <t>2003-2010</t>
  </si>
  <si>
    <t>SOUL</t>
  </si>
  <si>
    <t>A7</t>
  </si>
  <si>
    <t>2014-</t>
  </si>
  <si>
    <t>SPARK GT</t>
  </si>
  <si>
    <t>punta cuadrada</t>
  </si>
  <si>
    <t>SPARK LT / MATIZ</t>
  </si>
  <si>
    <t>SPARK LT / MATIZ/ IQ</t>
  </si>
  <si>
    <t>SPIN</t>
  </si>
  <si>
    <t>SPORT</t>
  </si>
  <si>
    <t xml:space="preserve">2010 -2018 </t>
  </si>
  <si>
    <t>SPORTAGE</t>
  </si>
  <si>
    <t>1994-2004</t>
  </si>
  <si>
    <t>1995-1997</t>
  </si>
  <si>
    <t>2016-2021</t>
  </si>
  <si>
    <t xml:space="preserve">SPORTAGE  </t>
  </si>
  <si>
    <t>SPORTAGE  7 PERFORACIONES</t>
  </si>
  <si>
    <t xml:space="preserve">SUZUKI </t>
  </si>
  <si>
    <t xml:space="preserve">SPRINT </t>
  </si>
  <si>
    <t>1989-1995</t>
  </si>
  <si>
    <t>SPRINTER</t>
  </si>
  <si>
    <t>1995-2011</t>
  </si>
  <si>
    <t xml:space="preserve">C/D </t>
  </si>
  <si>
    <t xml:space="preserve">SPRINTER </t>
  </si>
  <si>
    <t>STAREX S/PERFORACION</t>
  </si>
  <si>
    <t>1999-2014</t>
  </si>
  <si>
    <t>STARLET</t>
  </si>
  <si>
    <t>STAVIC</t>
  </si>
  <si>
    <t>STILO</t>
  </si>
  <si>
    <t>STRALIS</t>
  </si>
  <si>
    <t>SUBARU JUSTY</t>
  </si>
  <si>
    <t>SUBURBAN</t>
  </si>
  <si>
    <t>GMC</t>
  </si>
  <si>
    <t xml:space="preserve">SUBURBAN  </t>
  </si>
  <si>
    <t>SUBURBAN  C10</t>
  </si>
  <si>
    <t>1973-1991</t>
  </si>
  <si>
    <t>ENTRAGADO A MARCELO MADRID</t>
  </si>
  <si>
    <t>SUBURBAN TAHOE</t>
  </si>
  <si>
    <t>PONTIAC</t>
  </si>
  <si>
    <t>SUNFIRE</t>
  </si>
  <si>
    <t>SUNRAY</t>
  </si>
  <si>
    <t>SWIFF</t>
  </si>
  <si>
    <t>S/CALUGA</t>
  </si>
  <si>
    <t>SWIFF HB</t>
  </si>
  <si>
    <t>SX4</t>
  </si>
  <si>
    <t>2014 &gt;</t>
  </si>
  <si>
    <t>SYMBOL</t>
  </si>
  <si>
    <t>SYMBOL / LOGAN</t>
  </si>
  <si>
    <t>T30 T32 T50 T52 X30</t>
  </si>
  <si>
    <t>T6/T8</t>
  </si>
  <si>
    <t>2015-</t>
  </si>
  <si>
    <t>MAXUS</t>
  </si>
  <si>
    <t xml:space="preserve">TAHOE SUBURBAN SILVERADO </t>
  </si>
  <si>
    <t>C/C C/S</t>
  </si>
  <si>
    <t>TAOS ATECA KAROQ</t>
  </si>
  <si>
    <t>TERCEL</t>
  </si>
  <si>
    <t>1990-1994</t>
  </si>
  <si>
    <t>TERIOS</t>
  </si>
  <si>
    <t>&lt;2003</t>
  </si>
  <si>
    <t>TERRACAN</t>
  </si>
  <si>
    <t xml:space="preserve">B7  </t>
  </si>
  <si>
    <t>TERRACOTA  FT 500 g7</t>
  </si>
  <si>
    <t xml:space="preserve">ZX AUTO </t>
  </si>
  <si>
    <t>TERRALORD</t>
  </si>
  <si>
    <t>TERRANO MISTRAL</t>
  </si>
  <si>
    <t xml:space="preserve">MAN </t>
  </si>
  <si>
    <t>TGA TGX</t>
  </si>
  <si>
    <t>MAN</t>
  </si>
  <si>
    <t>TGX 28.400</t>
  </si>
  <si>
    <t>NEO</t>
  </si>
  <si>
    <t>THUNDER    DERECHO</t>
  </si>
  <si>
    <t>THUNDER IZQUIERDO</t>
  </si>
  <si>
    <t>TICO</t>
  </si>
  <si>
    <t>TIGGO 2  C/A</t>
  </si>
  <si>
    <t xml:space="preserve">CHERRY </t>
  </si>
  <si>
    <t>TIGGO 3</t>
  </si>
  <si>
    <t>2016-2019</t>
  </si>
  <si>
    <t>TIGUAN C/S</t>
  </si>
  <si>
    <t>TIIDA</t>
  </si>
  <si>
    <t>TOUAREG</t>
  </si>
  <si>
    <t>TOWN COUNTRY DODGE MINI VAN</t>
  </si>
  <si>
    <t>TOYOTA TOWN-ACE/LITE-ACE WAGON VAN 92-</t>
  </si>
  <si>
    <t xml:space="preserve">TOYOTA YARIS II/VIOS II/BELTA 4D SEDAN </t>
  </si>
  <si>
    <t>TRACKER</t>
  </si>
  <si>
    <t>TRAILBAZER</t>
  </si>
  <si>
    <t>TRANSIT ( CABINA BAJA )</t>
  </si>
  <si>
    <t>TRANSPORTER</t>
  </si>
  <si>
    <t>TROOPER</t>
  </si>
  <si>
    <t>1982-1993</t>
  </si>
  <si>
    <t>TRUCK</t>
  </si>
  <si>
    <t>TT</t>
  </si>
  <si>
    <t>TUCSON</t>
  </si>
  <si>
    <t>A127</t>
  </si>
  <si>
    <t>7 PERFOTACIONES</t>
  </si>
  <si>
    <t>TUNDER</t>
  </si>
  <si>
    <t>TUNDER PLANO</t>
  </si>
  <si>
    <t>TUNDRA</t>
  </si>
  <si>
    <t>2007-2021</t>
  </si>
  <si>
    <t>TUNELES MINEROS</t>
  </si>
  <si>
    <t>UNO</t>
  </si>
  <si>
    <t xml:space="preserve">UNO             FIORINO </t>
  </si>
  <si>
    <t>UNO NOVO FIORINO WAY RAM 700</t>
  </si>
  <si>
    <t>UP LANDER</t>
  </si>
  <si>
    <t>URBAN 1042</t>
  </si>
  <si>
    <t>V.W. JETTA/ 4D SEDAN 2005-</t>
  </si>
  <si>
    <t>2005-2010</t>
  </si>
  <si>
    <t>V3</t>
  </si>
  <si>
    <t>V80</t>
  </si>
  <si>
    <t>DERECHO PRESENTAR</t>
  </si>
  <si>
    <t>BUSCAR</t>
  </si>
  <si>
    <t>VECTRA</t>
  </si>
  <si>
    <t>1988-1995</t>
  </si>
  <si>
    <t>VECTRA  II</t>
  </si>
  <si>
    <t>CHEVROLET   / OPEL</t>
  </si>
  <si>
    <t>VECTRA C/S</t>
  </si>
  <si>
    <t>2003-2011</t>
  </si>
  <si>
    <t>VERSA</t>
  </si>
  <si>
    <t>2012-2020</t>
  </si>
  <si>
    <t>VICTORIA IZQUIERDO</t>
  </si>
  <si>
    <t>VIGUS</t>
  </si>
  <si>
    <t>2020-</t>
  </si>
  <si>
    <t>VIRTUS</t>
  </si>
  <si>
    <t>VITARA</t>
  </si>
  <si>
    <t>VITO</t>
  </si>
  <si>
    <t>VITO VIANO C/A</t>
  </si>
  <si>
    <t>2003-2014</t>
  </si>
  <si>
    <t>VIVANT / REZZO TACUMA</t>
  </si>
  <si>
    <t>WINGLE</t>
  </si>
  <si>
    <t>C/A C/S</t>
  </si>
  <si>
    <t xml:space="preserve">WORKER CAMION 17 220   8-120 8-100  15180  17180 83150 </t>
  </si>
  <si>
    <t>1985-2011</t>
  </si>
  <si>
    <t>WORKTRUC CK 1500</t>
  </si>
  <si>
    <t>WRANGLER SAHARA</t>
  </si>
  <si>
    <t>X TRAIL T30</t>
  </si>
  <si>
    <t>X1</t>
  </si>
  <si>
    <t>2016-2022</t>
  </si>
  <si>
    <t>X1 E84  C/S</t>
  </si>
  <si>
    <t>X200 X330 D200</t>
  </si>
  <si>
    <t>X55</t>
  </si>
  <si>
    <t>X6</t>
  </si>
  <si>
    <t xml:space="preserve">XANTIA  </t>
  </si>
  <si>
    <t>XC60</t>
  </si>
  <si>
    <t>2008-2018</t>
  </si>
  <si>
    <t>TATA</t>
  </si>
  <si>
    <t>XENON</t>
  </si>
  <si>
    <t>XSARA PICASSO S/S</t>
  </si>
  <si>
    <t>XTRAIL T32</t>
  </si>
  <si>
    <t>XTRAIL T33 C/s C/C</t>
  </si>
  <si>
    <t>XUV 500</t>
  </si>
  <si>
    <t>XV</t>
  </si>
  <si>
    <t>XYLO   GENIO</t>
  </si>
  <si>
    <t>YARIS</t>
  </si>
  <si>
    <t xml:space="preserve">YARIS </t>
  </si>
  <si>
    <t>YARIS HB SEDAN</t>
  </si>
  <si>
    <t>YARIS HB SPORT</t>
  </si>
  <si>
    <t>YARIS SPORT/ VOLEEX C10 HB</t>
  </si>
  <si>
    <t>YETI C/S</t>
  </si>
  <si>
    <t>ZHONGUI  RUIYI</t>
  </si>
  <si>
    <t>|</t>
  </si>
  <si>
    <t xml:space="preserve">brillence </t>
  </si>
  <si>
    <t>KONECT</t>
  </si>
  <si>
    <t>AÑO</t>
  </si>
  <si>
    <t>2013-</t>
  </si>
  <si>
    <t>1993-</t>
  </si>
  <si>
    <t>1996-</t>
  </si>
  <si>
    <t>ALETA TRASERA DERECHA</t>
  </si>
  <si>
    <t>2012-</t>
  </si>
  <si>
    <t>MARUTI</t>
  </si>
  <si>
    <t>LATERAL TRASERO IZQUIERDO</t>
  </si>
  <si>
    <t xml:space="preserve">KIA </t>
  </si>
  <si>
    <t>C2</t>
  </si>
  <si>
    <t>BLAZER</t>
  </si>
  <si>
    <t>1999-</t>
  </si>
  <si>
    <t>CARGO</t>
  </si>
  <si>
    <t>CELERIO</t>
  </si>
  <si>
    <t>LATERAL TRASERO DERECHO</t>
  </si>
  <si>
    <t>ALETA TRASERA IZQUIERDA</t>
  </si>
  <si>
    <t>CHEROKEE</t>
  </si>
  <si>
    <t>1992-</t>
  </si>
  <si>
    <t>CORSA</t>
  </si>
  <si>
    <t>2000-</t>
  </si>
  <si>
    <t>CX5</t>
  </si>
  <si>
    <t>1985-1997</t>
  </si>
  <si>
    <t>B13</t>
  </si>
  <si>
    <t>ECLIPSE</t>
  </si>
  <si>
    <t>1997-</t>
  </si>
  <si>
    <t>1988-2002</t>
  </si>
  <si>
    <t>A1</t>
  </si>
  <si>
    <t>2004-</t>
  </si>
  <si>
    <t xml:space="preserve">FRONTIER </t>
  </si>
  <si>
    <t xml:space="preserve">VOLKSWAGEN </t>
  </si>
  <si>
    <t>GOLF</t>
  </si>
  <si>
    <t>1993-1996</t>
  </si>
  <si>
    <t>LATERAL</t>
  </si>
  <si>
    <t>H100</t>
  </si>
  <si>
    <t>1995-1996</t>
  </si>
  <si>
    <t>I30</t>
  </si>
  <si>
    <t>2001-</t>
  </si>
  <si>
    <t>1995-2002</t>
  </si>
  <si>
    <t>1988-1991</t>
  </si>
  <si>
    <t xml:space="preserve">LEGACY </t>
  </si>
  <si>
    <t>2001-2007</t>
  </si>
  <si>
    <t>1978-1980</t>
  </si>
  <si>
    <t>MONDEO</t>
  </si>
  <si>
    <t>MONTERO</t>
  </si>
  <si>
    <t>NAVARA</t>
  </si>
  <si>
    <t>VPTI</t>
  </si>
  <si>
    <t>1982-1984</t>
  </si>
  <si>
    <t>1994-1995</t>
  </si>
  <si>
    <t>1994-1999</t>
  </si>
  <si>
    <t>RUNNER</t>
  </si>
  <si>
    <t>2003-2004</t>
  </si>
  <si>
    <t>2006-2008</t>
  </si>
  <si>
    <t>VPTD</t>
  </si>
  <si>
    <t>SUNNY</t>
  </si>
  <si>
    <t>2011-</t>
  </si>
  <si>
    <t>2007-2011</t>
  </si>
  <si>
    <t>2002-2003</t>
  </si>
  <si>
    <t>TERRANO</t>
  </si>
  <si>
    <t>1998-2012</t>
  </si>
  <si>
    <t>XTERRA</t>
  </si>
  <si>
    <t>1991-</t>
  </si>
  <si>
    <t>GRAND CHEROKEE</t>
  </si>
  <si>
    <t>2011-2021</t>
  </si>
  <si>
    <t>VPDI</t>
  </si>
  <si>
    <t>DMAX COLORADO WINGLE (2006-2018)</t>
  </si>
  <si>
    <t>ACTYON</t>
  </si>
  <si>
    <t>VPDD</t>
  </si>
  <si>
    <t>ALETA DELANTERA DERECHA</t>
  </si>
  <si>
    <t>MARUTI ALTO 800</t>
  </si>
  <si>
    <t>2011-2016</t>
  </si>
  <si>
    <t>SSANGYONG</t>
  </si>
  <si>
    <t>1999-2011</t>
  </si>
  <si>
    <t>COLOR</t>
  </si>
  <si>
    <t>PRODUCTO</t>
  </si>
  <si>
    <t>CODIGO</t>
  </si>
  <si>
    <t>VALOR MAYORISTA</t>
  </si>
  <si>
    <t>VALOR S/I</t>
  </si>
  <si>
    <t>VALOR C/I</t>
  </si>
  <si>
    <t>TOTAL</t>
  </si>
  <si>
    <t>NAVARA zna</t>
  </si>
  <si>
    <t>LONA</t>
  </si>
  <si>
    <t xml:space="preserve">DMAX-WINGLE </t>
  </si>
  <si>
    <t xml:space="preserve">COLORADO O S10 </t>
  </si>
  <si>
    <t>FORD  MAZDA</t>
  </si>
  <si>
    <t>RANGER  BT50/T60</t>
  </si>
  <si>
    <t>L200 CON CURVA</t>
  </si>
  <si>
    <t xml:space="preserve">L200 </t>
  </si>
  <si>
    <t>l200</t>
  </si>
  <si>
    <t>SAVEIRO CABINA SIMPLE</t>
  </si>
  <si>
    <t>OROCH</t>
  </si>
  <si>
    <t>NP300</t>
  </si>
  <si>
    <t>VIGO</t>
  </si>
  <si>
    <t>NEGRA</t>
  </si>
  <si>
    <t>BARRA</t>
  </si>
  <si>
    <t>D22</t>
  </si>
  <si>
    <t>ACTYON / MUSSO</t>
  </si>
  <si>
    <t>REVO</t>
  </si>
  <si>
    <t>BARRA SAFARI</t>
  </si>
  <si>
    <t xml:space="preserve">ACTYON </t>
  </si>
  <si>
    <t>TRITON</t>
  </si>
  <si>
    <t>KIT CROMADO</t>
  </si>
  <si>
    <t>NEW DMAX</t>
  </si>
  <si>
    <t>HILUX VIGO</t>
  </si>
  <si>
    <t>HILUX REVO</t>
  </si>
  <si>
    <t>2015-2017</t>
  </si>
  <si>
    <t>L200   TRITON</t>
  </si>
  <si>
    <t>FENDER</t>
  </si>
  <si>
    <t>2015-2018</t>
  </si>
  <si>
    <t>LONA DURA</t>
  </si>
  <si>
    <t>DESCRIPCION</t>
  </si>
  <si>
    <t xml:space="preserve">ITEM </t>
  </si>
  <si>
    <t>Unit</t>
  </si>
  <si>
    <t>Quantity</t>
  </si>
  <si>
    <t>UNIT EN USD</t>
  </si>
  <si>
    <t>PRECIO TOTAL USD</t>
  </si>
  <si>
    <t>COSTOPRECIO EN PESOS</t>
  </si>
  <si>
    <t>COSTO CON IVA</t>
  </si>
  <si>
    <t>OBS</t>
  </si>
  <si>
    <t>PRECIO UNIDAD</t>
  </si>
  <si>
    <t>DESCONTAR</t>
  </si>
  <si>
    <t>brake disc</t>
  </si>
  <si>
    <t xml:space="preserve">Discos de frenos </t>
  </si>
  <si>
    <t>pcs</t>
  </si>
  <si>
    <t>C/U</t>
  </si>
  <si>
    <t>fender (white)</t>
  </si>
  <si>
    <t>Tapabarros</t>
  </si>
  <si>
    <t>pairs</t>
  </si>
  <si>
    <t xml:space="preserve">EL PAR </t>
  </si>
  <si>
    <t>(1=25.000)</t>
  </si>
  <si>
    <t>1 PAR OT 6402</t>
  </si>
  <si>
    <t>charger</t>
  </si>
  <si>
    <t xml:space="preserve">Cargadores </t>
  </si>
  <si>
    <t>MOTO AMARILLA</t>
  </si>
  <si>
    <t>off road tires</t>
  </si>
  <si>
    <t xml:space="preserve">Neumaticos </t>
  </si>
  <si>
    <t>1 eduardo 2 nochero OT 2301 OT 2307 OT 1698</t>
  </si>
  <si>
    <t xml:space="preserve"> OT 5227 JUAN CARLOS </t>
  </si>
  <si>
    <t>front pads brake</t>
  </si>
  <si>
    <t>Pastillas de frenos del</t>
  </si>
  <si>
    <t>rear pads brake</t>
  </si>
  <si>
    <t>Pastillas de frenos tras</t>
  </si>
  <si>
    <t>charging port</t>
  </si>
  <si>
    <t>Puerto cargador batería</t>
  </si>
  <si>
    <t>1 JAVIER CORNEJO /  OT 3499 / 1 MOTO NOCHERO OT4608</t>
  </si>
  <si>
    <t>double seat</t>
  </si>
  <si>
    <t>Asiento trasero</t>
  </si>
  <si>
    <t>controller 1500 watt</t>
  </si>
  <si>
    <t xml:space="preserve">Controlador </t>
  </si>
  <si>
    <t>motor 1500 watt</t>
  </si>
  <si>
    <t xml:space="preserve">motor </t>
  </si>
  <si>
    <t>INGECORN OT4258</t>
  </si>
  <si>
    <t>OT 5227</t>
  </si>
  <si>
    <t>controller 2000 watt</t>
  </si>
  <si>
    <t>angelo</t>
  </si>
  <si>
    <t>motor 2000 watt</t>
  </si>
  <si>
    <t>front wheell</t>
  </si>
  <si>
    <t>Llanta delantera</t>
  </si>
  <si>
    <t xml:space="preserve">rear mirror </t>
  </si>
  <si>
    <t xml:space="preserve">Espejos </t>
  </si>
  <si>
    <t>(1=8.000)</t>
  </si>
  <si>
    <t>1 JAVIER CORNEJO    1 ot #1612   ot 2227   ot 2219 OT3805</t>
  </si>
  <si>
    <t>MOTO MARRON/ moto blanca</t>
  </si>
  <si>
    <t>handle bar</t>
  </si>
  <si>
    <t>puños manubrio</t>
  </si>
  <si>
    <t>(1=10.000)</t>
  </si>
  <si>
    <t>brake system</t>
  </si>
  <si>
    <t xml:space="preserve">Sistema de frenos </t>
  </si>
  <si>
    <t>brake level</t>
  </si>
  <si>
    <t xml:space="preserve">Deposito de frenos </t>
  </si>
  <si>
    <t>bag</t>
  </si>
  <si>
    <t xml:space="preserve">Bolso </t>
  </si>
  <si>
    <t>rain cover</t>
  </si>
  <si>
    <t>Funda</t>
  </si>
  <si>
    <t>1 TERESA / OT 2369 OT 2486</t>
  </si>
  <si>
    <t>Batería 12 Ah</t>
  </si>
  <si>
    <t>Batería 20 Ah</t>
  </si>
  <si>
    <t>*1 bateria q sacaron a la moto por garantia / *1 santa cruz/1 BATERIA OT 4638 02/03/22</t>
  </si>
  <si>
    <t>Manillares</t>
  </si>
  <si>
    <t>ot 1972 / OT 3198 / OT6097/OT6103</t>
  </si>
  <si>
    <t>izquierda / IZQUIERDA/IZQUIERDA/IZQUIERDA</t>
  </si>
  <si>
    <t>unidad</t>
  </si>
  <si>
    <t>Acelerador</t>
  </si>
  <si>
    <t>unidada</t>
  </si>
  <si>
    <t>Viceras</t>
  </si>
  <si>
    <t>Bolso de golf</t>
  </si>
  <si>
    <t>CLIENTE</t>
  </si>
  <si>
    <t xml:space="preserve"> TELEFONO</t>
  </si>
  <si>
    <t>DIRECCION</t>
  </si>
  <si>
    <t>OBSERVACIONES</t>
  </si>
  <si>
    <t>SUPERMERCADO DEL PARABRISAS</t>
  </si>
  <si>
    <t>SANTIAGO</t>
  </si>
  <si>
    <t>RENGO</t>
  </si>
  <si>
    <t>SANTA CRUZ</t>
  </si>
  <si>
    <t>FERRETERIA LONDRES</t>
  </si>
  <si>
    <t>IGNACIO CARRERA PINTO #991</t>
  </si>
  <si>
    <t>FRANCISCO</t>
  </si>
  <si>
    <t>MUSSO</t>
  </si>
  <si>
    <t>TIRO</t>
  </si>
  <si>
    <t>PROFORMA</t>
  </si>
  <si>
    <t>E</t>
  </si>
  <si>
    <t>0004-0000080</t>
  </si>
  <si>
    <t>Vendedor</t>
  </si>
  <si>
    <t>Comprador / Importador</t>
  </si>
  <si>
    <t>ABC ACCESORIOS S.R.L. - BUENOS AIRES</t>
  </si>
  <si>
    <t>INGECORN EIRL</t>
  </si>
  <si>
    <t>SUNCHALES 742</t>
  </si>
  <si>
    <t>SR. Javier Cornejo.</t>
  </si>
  <si>
    <t>1416-CAPITAL FEDERAL</t>
  </si>
  <si>
    <t>CUIT 30692919994</t>
  </si>
  <si>
    <t>Irarrázaval 438, Rancagua, VI Ohiggins, Chile</t>
  </si>
  <si>
    <t>TEL 0054 11 4581-0100</t>
  </si>
  <si>
    <t>CODIGO POSTAL:</t>
  </si>
  <si>
    <t>Tel:</t>
  </si>
  <si>
    <t>Consignacion</t>
  </si>
  <si>
    <t>Mail:</t>
  </si>
  <si>
    <t>javier.cornejo@ingecorn.cl</t>
  </si>
  <si>
    <t>CODIGO ABC</t>
  </si>
  <si>
    <t>CODIGO LONA</t>
  </si>
  <si>
    <t>PARTES Y PIEZAS DE VEHICULOS</t>
  </si>
  <si>
    <t>FOTOS</t>
  </si>
  <si>
    <t>TIPO DE LONA</t>
  </si>
  <si>
    <t>Cantidad</t>
  </si>
  <si>
    <t>S364</t>
  </si>
  <si>
    <t>AMAROK 2010 +</t>
  </si>
  <si>
    <t>SLIM</t>
  </si>
  <si>
    <t>S242</t>
  </si>
  <si>
    <t>CHEVROLET D-MAX 2016+</t>
  </si>
  <si>
    <t>FORD F-150 2015+</t>
  </si>
  <si>
    <t>ELITE</t>
  </si>
  <si>
    <t>NISSAN TERRANO</t>
  </si>
  <si>
    <t>CHEVROLET COLORADO O S10 2012+</t>
  </si>
  <si>
    <t>S560</t>
  </si>
  <si>
    <t>TOYOTA HILUX VIG0 2005-2015</t>
  </si>
  <si>
    <t>S574</t>
  </si>
  <si>
    <t>TOYOTA HILUX REVO 2016+</t>
  </si>
  <si>
    <t>S160</t>
  </si>
  <si>
    <t>FORD RANGER - MAZDA BT-50 2012+</t>
  </si>
  <si>
    <t>FORD RANGER - MAZDA BT-50 XLT</t>
  </si>
  <si>
    <t>REGION</t>
  </si>
  <si>
    <t>AUTO EQUIPAMINETO EL TENIENTE</t>
  </si>
  <si>
    <t>O'HIGGINS 977, RANCAGUA</t>
  </si>
  <si>
    <t>VI</t>
  </si>
  <si>
    <t>WILFREDO VALERO AUTOEQUIPAMIENTOELTENIENTE@GMAIL.COM</t>
  </si>
  <si>
    <t>TRUSTUS</t>
  </si>
  <si>
    <t>O'CARROL 1109, RANCAGUA</t>
  </si>
  <si>
    <t>ESCAPES MENDOZA</t>
  </si>
  <si>
    <t>(72)2227192</t>
  </si>
  <si>
    <t>O'HIGGINS 0105,RANCAGUA</t>
  </si>
  <si>
    <t>barra minera / importan directo los kit cromado</t>
  </si>
  <si>
    <t>TECNOCAR</t>
  </si>
  <si>
    <t>225045564 / 225045590</t>
  </si>
  <si>
    <t>BUSTAMANTE 402 PROVIDENCIA, SANTIAGO</t>
  </si>
  <si>
    <t>RM</t>
  </si>
  <si>
    <t>CAMONT.CL</t>
  </si>
  <si>
    <t xml:space="preserve">COPIAPO  1045 </t>
  </si>
  <si>
    <t>EQUIPAMIENTO MORALES</t>
  </si>
  <si>
    <t>COPIAPO 666</t>
  </si>
  <si>
    <t>MUNDO PARABRISAS</t>
  </si>
  <si>
    <t>AV. CAPITAN MILLAN 683, RANCAGUA</t>
  </si>
  <si>
    <t>SE LE ENVIO INFORMACIONN QUEDO EN AVISAR</t>
  </si>
  <si>
    <t>MILANO TMC</t>
  </si>
  <si>
    <t>AV. 10 DE JULIO, SANTIAGO</t>
  </si>
  <si>
    <t>JHIMMY</t>
  </si>
  <si>
    <t>QUINTA NORMAL</t>
  </si>
  <si>
    <t>SE LE ENVIA POR WHATSAPP</t>
  </si>
  <si>
    <t>NEOMAR BRAVO (GABRIEL GONZALEZ)</t>
  </si>
  <si>
    <t>SANTIAGO CENTRO</t>
  </si>
  <si>
    <t>SE LE ENVIA POR WHATSAPP LE INTERESA COMPRAR CUANDO LE SALGA TRABAJO ACA</t>
  </si>
  <si>
    <t>DANILO JOSE DIAZ GONZALEZ</t>
  </si>
  <si>
    <t>SE LE ENVIA INFORMACION POR WHATSAPP</t>
  </si>
  <si>
    <t>JUAN JOSE DIAZ QUINDERO</t>
  </si>
  <si>
    <t>ISAC CACERES</t>
  </si>
  <si>
    <t>NO RESPONDE</t>
  </si>
  <si>
    <t>TATTY EQUIPAMIENTO</t>
  </si>
  <si>
    <t xml:space="preserve">SANTIAGO </t>
  </si>
  <si>
    <t>MUY INTERESADA VA A REVISAR EL CATALOGO</t>
  </si>
  <si>
    <t>YOHANNY MONTIEL</t>
  </si>
  <si>
    <t>JOHAN VENEAUTO</t>
  </si>
  <si>
    <t>INTERESADO. VOLVER A LLAMAR , VAA  REVISAR LLAMAR ENERO</t>
  </si>
  <si>
    <t>EQUIPAMIENTO MUÑOZ</t>
  </si>
  <si>
    <t>CURICO FREIRE 129</t>
  </si>
  <si>
    <t>COMPRA A 115 + IVA   GRANDES CANTIDADES</t>
  </si>
  <si>
    <t>ISSAC</t>
  </si>
  <si>
    <t>EQUIPAMIENTO 998</t>
  </si>
  <si>
    <t>AVICARS</t>
  </si>
  <si>
    <t>EN ESPERA DE RESPUESTA</t>
  </si>
  <si>
    <t>RUT</t>
  </si>
  <si>
    <t>CONTACTO</t>
  </si>
  <si>
    <t>GEOSUPORT</t>
  </si>
  <si>
    <t>NORTH MINING</t>
  </si>
  <si>
    <t>77.161.252-0</t>
  </si>
  <si>
    <t>+56 9 8235 8463</t>
  </si>
  <si>
    <t>FRANCISCO RIOS</t>
  </si>
  <si>
    <t xml:space="preserve">PUMANQUE MINERIA Y CONTRUCCIÓN SPA </t>
  </si>
  <si>
    <t>76.071.080-6</t>
  </si>
  <si>
    <t>+56 9 9548 0780</t>
  </si>
  <si>
    <t>ANDRÉS</t>
  </si>
  <si>
    <t>GEOROCK</t>
  </si>
  <si>
    <t>77.842.840-7</t>
  </si>
  <si>
    <t>+56 9 4268 0118</t>
  </si>
  <si>
    <t xml:space="preserve">JOSÉ NUÑEZ </t>
  </si>
  <si>
    <t xml:space="preserve">GREAT WALL </t>
  </si>
  <si>
    <t>HOVER H6</t>
  </si>
  <si>
    <t>1998-2011</t>
  </si>
  <si>
    <t>RANGER / BT50 /  SERIE B 1999)</t>
  </si>
  <si>
    <t>2008-2021</t>
  </si>
  <si>
    <t>KANGOO(2008) / CITAN W415 (2012)</t>
  </si>
  <si>
    <t>323 ARTIS DEL 97 5PTA</t>
  </si>
  <si>
    <t>1997-2003</t>
  </si>
  <si>
    <t>323 FAMILIA</t>
  </si>
  <si>
    <t>1991-1994</t>
  </si>
  <si>
    <t xml:space="preserve">    C/D</t>
  </si>
  <si>
    <t>2001-2017</t>
  </si>
  <si>
    <t>RENAULT SAMSUNG</t>
  </si>
  <si>
    <t>KOLEOS QM5</t>
  </si>
  <si>
    <t>L200 /KATANA MONTERO SPORT G2 2010)</t>
  </si>
  <si>
    <t>FLUENCE  MEGANE III (2009-2016)</t>
  </si>
  <si>
    <t>1995-2005</t>
  </si>
  <si>
    <t>C 2 SENSOR</t>
  </si>
  <si>
    <t>CON SENSOR Y CAMARA</t>
  </si>
  <si>
    <t>HAVAL H6</t>
  </si>
  <si>
    <t xml:space="preserve">CON SENSOR </t>
  </si>
  <si>
    <t>2012-2021</t>
  </si>
  <si>
    <t xml:space="preserve">RIO   </t>
  </si>
  <si>
    <t>SUZUKI  NISSAN</t>
  </si>
  <si>
    <t>A -STAR PIXO</t>
  </si>
  <si>
    <t>SIENA PALIO WEEKEND STRADA (1999-2020) RAM 700 2P</t>
  </si>
  <si>
    <t>C/A</t>
  </si>
  <si>
    <t>OT 2430 / OT 2469 / 2547 / 4131 / 5657/OT6103/nochero</t>
  </si>
  <si>
    <t>nochero</t>
  </si>
  <si>
    <t>OT 4213 OT 4238 nochero</t>
  </si>
  <si>
    <t>OT 4213 nochero</t>
  </si>
  <si>
    <t>T60  T90 C/S C/A</t>
  </si>
  <si>
    <t>presentar primero</t>
  </si>
  <si>
    <t xml:space="preserve">A7 </t>
  </si>
  <si>
    <t>T-CROSS</t>
  </si>
  <si>
    <t>SONIC T300</t>
  </si>
  <si>
    <t xml:space="preserve"> SUZUKI  NISSAN</t>
  </si>
  <si>
    <t>MONTANA</t>
  </si>
  <si>
    <t>2023&gt;</t>
  </si>
  <si>
    <t>BERLINGO PARTNER</t>
  </si>
  <si>
    <t xml:space="preserve">TRAILBLAZER/ COLORADO CON SENSOR Y CAMARA </t>
  </si>
  <si>
    <t>movil</t>
  </si>
  <si>
    <t>2008-2015</t>
  </si>
  <si>
    <t>S/S  PRESENTAR</t>
  </si>
  <si>
    <t xml:space="preserve"> S/S    </t>
  </si>
  <si>
    <t>ALTO   K10</t>
  </si>
  <si>
    <t>2001-2021</t>
  </si>
  <si>
    <t xml:space="preserve">C/A </t>
  </si>
  <si>
    <t>OPTIMA MAGENTIS</t>
  </si>
  <si>
    <t>OSCURO</t>
  </si>
  <si>
    <t>FORD MAZDA</t>
  </si>
  <si>
    <t>POER</t>
  </si>
  <si>
    <t>B29</t>
  </si>
  <si>
    <t>3PTA</t>
  </si>
  <si>
    <t xml:space="preserve">   S/S </t>
  </si>
  <si>
    <t xml:space="preserve">VERDE </t>
  </si>
  <si>
    <t>MOVIL FF</t>
  </si>
  <si>
    <t>MOVIL B</t>
  </si>
  <si>
    <t>PRESENTAR PRIMERO PELADO</t>
  </si>
  <si>
    <t>ACCORD  USA</t>
  </si>
  <si>
    <t xml:space="preserve"> GREAT WALL</t>
  </si>
  <si>
    <t>POSIBLE TRACKER</t>
  </si>
  <si>
    <t>TIGGO 8 C/S</t>
  </si>
  <si>
    <t>BESTA PREGIO</t>
  </si>
  <si>
    <t>C/S S/S</t>
  </si>
  <si>
    <t>N6</t>
  </si>
  <si>
    <t>TRAILBLAZER COLORADO</t>
  </si>
  <si>
    <t>XSARA COUPE</t>
  </si>
  <si>
    <t>MIDI CARGO V3 T3 GATOUR</t>
  </si>
  <si>
    <t>SWIFF -DZIRE SEDAN</t>
  </si>
  <si>
    <t>HB SW</t>
  </si>
  <si>
    <t>MINYI</t>
  </si>
  <si>
    <t>TALLER A25</t>
  </si>
  <si>
    <t xml:space="preserve"> ,</t>
  </si>
  <si>
    <t>A7 A11</t>
  </si>
  <si>
    <t>CABINA ANCHA</t>
  </si>
  <si>
    <t>CON SENSOR DESPLAZADO</t>
  </si>
  <si>
    <t xml:space="preserve">A1 </t>
  </si>
  <si>
    <t>TIGGO 8 PRO C/S  C/C</t>
  </si>
  <si>
    <t>BASE DE SENSOR</t>
  </si>
  <si>
    <t>C/S Y S/S VER PINTURA</t>
  </si>
  <si>
    <t xml:space="preserve">EUROESCORT </t>
  </si>
  <si>
    <t>LEGACY/ OUTBACK</t>
  </si>
  <si>
    <t>ATRIL 1 A4</t>
  </si>
  <si>
    <t>5 PASAJEROS</t>
  </si>
  <si>
    <t>PALIO  (STRADA 1999-2009)</t>
  </si>
  <si>
    <t>OPEL CHEVROLET</t>
  </si>
  <si>
    <t xml:space="preserve">ATRIL 1 A5 </t>
  </si>
  <si>
    <t>HB SEDAN</t>
  </si>
  <si>
    <t>ATRIL 1 A6</t>
  </si>
  <si>
    <t xml:space="preserve">PALIO   </t>
  </si>
  <si>
    <t>SEDAN HB</t>
  </si>
  <si>
    <t>ATRIL 1 A7</t>
  </si>
  <si>
    <t xml:space="preserve">SEDAN  </t>
  </si>
  <si>
    <t>ATRIL 1 A8</t>
  </si>
  <si>
    <t>ATRIL 1  A8</t>
  </si>
  <si>
    <t>ATRIL 1 A9</t>
  </si>
  <si>
    <t>ALTO 800</t>
  </si>
  <si>
    <t>ATRIL1 A9</t>
  </si>
  <si>
    <t>CON ALETA</t>
  </si>
  <si>
    <t>ATRIL1 A10</t>
  </si>
  <si>
    <t>FRONTIER</t>
  </si>
  <si>
    <t>ATRIL 1 A10</t>
  </si>
  <si>
    <t>FASTER</t>
  </si>
  <si>
    <t>RANGER / BT50</t>
  </si>
  <si>
    <t>ATRIL 1 A11</t>
  </si>
  <si>
    <t>ATRIL 1 A12</t>
  </si>
  <si>
    <t>CHEVROLET MAZDA</t>
  </si>
  <si>
    <t>DMAX BT50</t>
  </si>
  <si>
    <t xml:space="preserve">FORD  </t>
  </si>
  <si>
    <t>ATRIL 1 A13</t>
  </si>
  <si>
    <t xml:space="preserve">DMAX BT50 </t>
  </si>
  <si>
    <t>ATRIL 1 A14</t>
  </si>
  <si>
    <t>CLIO</t>
  </si>
  <si>
    <t>ATRIL 1 A15</t>
  </si>
  <si>
    <t>ONIX</t>
  </si>
  <si>
    <t>HB 3 PTA</t>
  </si>
  <si>
    <t>ATRIL 1 A16</t>
  </si>
  <si>
    <t>GRAND PICASSO</t>
  </si>
  <si>
    <t>ATRIL 1 A17</t>
  </si>
  <si>
    <t>STRADA</t>
  </si>
  <si>
    <t>ATRIL 1 A18</t>
  </si>
  <si>
    <t>ATRIL 1 A2</t>
  </si>
  <si>
    <t>RAICER</t>
  </si>
  <si>
    <t>ATRIL1 A2</t>
  </si>
  <si>
    <t>ATRIL 1 A1</t>
  </si>
  <si>
    <t>2004-2015</t>
  </si>
  <si>
    <t>ATRIL1  A3</t>
  </si>
  <si>
    <t>ATRIL 1 B1</t>
  </si>
  <si>
    <t>SAFARI</t>
  </si>
  <si>
    <t>ATRIL 1 A19</t>
  </si>
  <si>
    <t>RODEO</t>
  </si>
  <si>
    <t>ATRIL 1 B2</t>
  </si>
  <si>
    <t>AEREO</t>
  </si>
  <si>
    <t>CLIO V</t>
  </si>
  <si>
    <t>ATRIL 1 B3</t>
  </si>
  <si>
    <t>CHEVY</t>
  </si>
  <si>
    <t>CIELO</t>
  </si>
  <si>
    <t>BORA GOLF</t>
  </si>
  <si>
    <t xml:space="preserve">1989- </t>
  </si>
  <si>
    <t>ATRIL 1 B4</t>
  </si>
  <si>
    <t>PUNTO</t>
  </si>
  <si>
    <t>BOXER</t>
  </si>
  <si>
    <t>PALIO</t>
  </si>
  <si>
    <t>1984-2004</t>
  </si>
  <si>
    <t>ATRIL 1 B5</t>
  </si>
  <si>
    <t>TRAILBLAZER</t>
  </si>
  <si>
    <t>ATRIL 1 B6</t>
  </si>
  <si>
    <t>1996-2001</t>
  </si>
  <si>
    <t>SPARK LT</t>
  </si>
  <si>
    <t>ATRIL 1 B7</t>
  </si>
  <si>
    <t>ATRIL 1 B8</t>
  </si>
  <si>
    <t>ATRIL 1 B9</t>
  </si>
  <si>
    <t>ACCENT VERNA</t>
  </si>
  <si>
    <t>ATRIL 1 B10</t>
  </si>
  <si>
    <t>ATRIL 1 B11</t>
  </si>
  <si>
    <t>LATERAL DERECHO</t>
  </si>
  <si>
    <t>ATRIL 1 B12</t>
  </si>
  <si>
    <t>JUMPER</t>
  </si>
  <si>
    <t>ESCUDO</t>
  </si>
  <si>
    <t>1990-</t>
  </si>
  <si>
    <t>PHAFINDER</t>
  </si>
  <si>
    <t>2008-2010</t>
  </si>
  <si>
    <t>DUCATO</t>
  </si>
  <si>
    <t>JUMPER BOXER</t>
  </si>
  <si>
    <t>2006-20210</t>
  </si>
  <si>
    <t>ATRIL 1 B13</t>
  </si>
  <si>
    <t>MIGHTY</t>
  </si>
  <si>
    <t>ATRIL 1 B14</t>
  </si>
  <si>
    <t>ATRIL 1 B15</t>
  </si>
  <si>
    <t>ATRIL 1 B16</t>
  </si>
  <si>
    <t>PAJERO</t>
  </si>
  <si>
    <t>2PTA</t>
  </si>
  <si>
    <t xml:space="preserve">SPORT </t>
  </si>
  <si>
    <t>3 Y 5PTA</t>
  </si>
  <si>
    <t>ATRIL 1 B17</t>
  </si>
  <si>
    <t>MAZDA FORD</t>
  </si>
  <si>
    <t>BRAVO RANGER</t>
  </si>
  <si>
    <t>ATRIL 1 B18</t>
  </si>
  <si>
    <t>GEMINI</t>
  </si>
  <si>
    <t>1985-</t>
  </si>
  <si>
    <t>ATRIL 1 C2</t>
  </si>
  <si>
    <t>ATRIL 1 C3</t>
  </si>
  <si>
    <t>ATRIL 1 C4</t>
  </si>
  <si>
    <t>ATRIL 1 C5</t>
  </si>
  <si>
    <t>RANGER  ARGENTINA</t>
  </si>
  <si>
    <t>1988-2006</t>
  </si>
  <si>
    <t>ATRIL 1 C6</t>
  </si>
  <si>
    <t>ATRIL 1 C7</t>
  </si>
  <si>
    <t>ATRIL 1 C8</t>
  </si>
  <si>
    <t>ATRIL 1 C9</t>
  </si>
  <si>
    <t>ATRIL 1 C10</t>
  </si>
  <si>
    <t>ATRIL 1 C11</t>
  </si>
  <si>
    <t>ATRIL 1 C12</t>
  </si>
  <si>
    <t>PICANTO</t>
  </si>
  <si>
    <t>V16</t>
  </si>
  <si>
    <t>MARUTI CELERIO</t>
  </si>
  <si>
    <t>ATRIL 1 C13</t>
  </si>
  <si>
    <t>1992-2002</t>
  </si>
  <si>
    <t>PICASSO</t>
  </si>
  <si>
    <t>I30 ELANTRA</t>
  </si>
  <si>
    <t>FIAT CITROEN PEUGEOT</t>
  </si>
  <si>
    <t>BIPPER NEMO FIORINO</t>
  </si>
  <si>
    <t>ATRIL 1 C14</t>
  </si>
  <si>
    <t>CORE</t>
  </si>
  <si>
    <t>ATRIL 1 C15</t>
  </si>
  <si>
    <t>MARUTI ATO 800</t>
  </si>
  <si>
    <t>FASTER RODEO</t>
  </si>
  <si>
    <t>ATRIL 1 C16</t>
  </si>
  <si>
    <t>MIIDI</t>
  </si>
  <si>
    <t>FORTUNER</t>
  </si>
  <si>
    <t>1999-2007</t>
  </si>
  <si>
    <t>MONTERO SPORT</t>
  </si>
  <si>
    <t>ATRIL 2 A1</t>
  </si>
  <si>
    <t>PARTNER  BERLINGO</t>
  </si>
  <si>
    <t>KYRON</t>
  </si>
  <si>
    <t>H100 PORTER</t>
  </si>
  <si>
    <t>FREIGHLINER</t>
  </si>
  <si>
    <t>MIGHTY HD65</t>
  </si>
  <si>
    <t>ATRIL 2 A2</t>
  </si>
  <si>
    <t>ATRIL 2 A3</t>
  </si>
  <si>
    <t>MINIVAN</t>
  </si>
  <si>
    <t>ATRIL 2 A4</t>
  </si>
  <si>
    <t>1978-</t>
  </si>
  <si>
    <t xml:space="preserve">RAM 1500 </t>
  </si>
  <si>
    <t>DEER</t>
  </si>
  <si>
    <t>ATRIL 2 A5</t>
  </si>
  <si>
    <t>BAT50 RANGER</t>
  </si>
  <si>
    <t>SCORPIO</t>
  </si>
  <si>
    <t>ATRIL 2 A9</t>
  </si>
  <si>
    <t>LUV C/A</t>
  </si>
  <si>
    <t>AVEO 3PTAS</t>
  </si>
  <si>
    <t>ATRIL 2 B1</t>
  </si>
  <si>
    <t>SERIES F46</t>
  </si>
  <si>
    <t>RANGER SERIE B</t>
  </si>
  <si>
    <t>OPTRA 4PTA</t>
  </si>
  <si>
    <t>RENAULT  SAMSUNG</t>
  </si>
  <si>
    <t>KOLEOS SM3</t>
  </si>
  <si>
    <t>ARTIS</t>
  </si>
  <si>
    <t>XC70</t>
  </si>
  <si>
    <t>CHEVROLET OPEL</t>
  </si>
  <si>
    <t>ATRIL 2 B2</t>
  </si>
  <si>
    <t>3 AXELA</t>
  </si>
  <si>
    <t>ATRIL 2 B3</t>
  </si>
  <si>
    <t>ASIA TOPIC</t>
  </si>
  <si>
    <t>3PTAS</t>
  </si>
  <si>
    <t>LATERAL TRASERA DERECHA</t>
  </si>
  <si>
    <t>ATRIL 2 B4</t>
  </si>
  <si>
    <t>ATRIL 2 B5</t>
  </si>
  <si>
    <t>CHRYSLER TOWN COUNTRY CARAVAN</t>
  </si>
  <si>
    <t xml:space="preserve"> PREMACY</t>
  </si>
  <si>
    <t>ATRIL 2 B6</t>
  </si>
  <si>
    <t>ATRIL 2 B7</t>
  </si>
  <si>
    <t>JIMNY</t>
  </si>
  <si>
    <t>ATRIL 2 B8</t>
  </si>
  <si>
    <t xml:space="preserve">WRANGLER </t>
  </si>
  <si>
    <t>MONTADA EN GOMA</t>
  </si>
  <si>
    <t>FRONTIER  BONGO</t>
  </si>
  <si>
    <t>2 PTAS 5 PTA</t>
  </si>
  <si>
    <t>MONTADA EN GOMA PRESENTAR PRIMERO</t>
  </si>
  <si>
    <t>2006-2011</t>
  </si>
  <si>
    <t>YARIS VOLEX C10</t>
  </si>
  <si>
    <t>C/P AÑO SIN CONFIRMAR</t>
  </si>
  <si>
    <t>1997-1998</t>
  </si>
  <si>
    <t>CON PERFORACIONES 5</t>
  </si>
  <si>
    <t>2002-2012</t>
  </si>
  <si>
    <t>2002-</t>
  </si>
  <si>
    <t>2002-2009</t>
  </si>
  <si>
    <t>PLATINA</t>
  </si>
  <si>
    <t>ALETA DELANTERA IZQUIERDA</t>
  </si>
  <si>
    <t>SYMBOL LOGAN</t>
  </si>
  <si>
    <t>ALETA LATERAL   TRASERA IZQUIERDA</t>
  </si>
  <si>
    <t>CLASE M ML W164</t>
  </si>
  <si>
    <t>LATERAL  TRASERA IZQUIERDA</t>
  </si>
  <si>
    <t>CHARADE G100</t>
  </si>
  <si>
    <t>2019-</t>
  </si>
  <si>
    <t>RENAULT   MITSUBISHI</t>
  </si>
  <si>
    <t>CLIO COLT (2023)</t>
  </si>
  <si>
    <t>IMPREZA XV</t>
  </si>
  <si>
    <t>CAJA 1</t>
  </si>
  <si>
    <t>CAJA2</t>
  </si>
  <si>
    <t>OSCURA</t>
  </si>
  <si>
    <t>ALETA DELANTERO DERECHO</t>
  </si>
  <si>
    <t>GALLOPER II</t>
  </si>
  <si>
    <t>ALETA TRASERO DERECHO</t>
  </si>
  <si>
    <t>YARIS SPORT</t>
  </si>
  <si>
    <t>2016-</t>
  </si>
  <si>
    <t>CAJA3</t>
  </si>
  <si>
    <t>LATERAL TRASERO</t>
  </si>
  <si>
    <t>2010-</t>
  </si>
  <si>
    <t>CAJA 3</t>
  </si>
  <si>
    <t>QQ S15</t>
  </si>
  <si>
    <t>1995-2004</t>
  </si>
  <si>
    <t xml:space="preserve">MONTANA </t>
  </si>
  <si>
    <t>SPRINTER 415</t>
  </si>
  <si>
    <t>ALETA DELANTERA</t>
  </si>
  <si>
    <t>LUNETA CENTRO</t>
  </si>
  <si>
    <t>L200 CENTRO</t>
  </si>
  <si>
    <t>A9</t>
  </si>
  <si>
    <t>A9/B6</t>
  </si>
  <si>
    <t>NARANJA B1</t>
  </si>
  <si>
    <t>NARANJA B2</t>
  </si>
  <si>
    <t>NARANJA B3</t>
  </si>
  <si>
    <t>NARANJA B4</t>
  </si>
  <si>
    <t>1993-1995</t>
  </si>
  <si>
    <t>NARANJA B5</t>
  </si>
  <si>
    <t>NARANJA B6</t>
  </si>
  <si>
    <t>NARANJA B8</t>
  </si>
  <si>
    <t>NARANJA B9</t>
  </si>
  <si>
    <t>C/D S/D</t>
  </si>
  <si>
    <t>NARANJA B9 /B3</t>
  </si>
  <si>
    <t>SIN PERFORACION RECTO</t>
  </si>
  <si>
    <t xml:space="preserve">MATIZ </t>
  </si>
  <si>
    <t>TUCSON   PERFORACIONES</t>
  </si>
  <si>
    <t>NARANJA B4 /B6</t>
  </si>
  <si>
    <t>NARANJA B4 /B6/B7</t>
  </si>
  <si>
    <t>6 PERFOTACIONES</t>
  </si>
  <si>
    <t>NARANJA A1 /A4</t>
  </si>
  <si>
    <t>NARANJA A2 A3</t>
  </si>
  <si>
    <t>NARANJA A5</t>
  </si>
  <si>
    <t>OPTRA SEDAN</t>
  </si>
  <si>
    <t>NARANJA A6</t>
  </si>
  <si>
    <t>USADA</t>
  </si>
  <si>
    <t>NARANJA B1 A6</t>
  </si>
  <si>
    <t>NARANJA A7</t>
  </si>
  <si>
    <t>IZQUIERDA C(CORTE</t>
  </si>
  <si>
    <t>NARANJA A9</t>
  </si>
  <si>
    <t>ISUZU CHEVROLET</t>
  </si>
  <si>
    <t xml:space="preserve">NPR </t>
  </si>
  <si>
    <t>B14 /A14</t>
  </si>
  <si>
    <t>A21 /A20</t>
  </si>
  <si>
    <t>C6</t>
  </si>
  <si>
    <t>B6 B7</t>
  </si>
  <si>
    <t>L200 CURVA NUEVAS  D1</t>
  </si>
  <si>
    <t>BODEGA 2</t>
  </si>
  <si>
    <t>RANGER BT50</t>
  </si>
  <si>
    <t>BOTA AGUA</t>
  </si>
  <si>
    <t>CAJA</t>
  </si>
  <si>
    <t>SURAN</t>
  </si>
  <si>
    <t>DERECHO/ IZQ</t>
  </si>
  <si>
    <t>USADO</t>
  </si>
  <si>
    <t>A23</t>
  </si>
  <si>
    <t>JS2</t>
  </si>
  <si>
    <t>B30</t>
  </si>
  <si>
    <t xml:space="preserve">C/P  </t>
  </si>
  <si>
    <t>NARANJA A9 / B29</t>
  </si>
  <si>
    <t>2011-2019</t>
  </si>
  <si>
    <t>A43</t>
  </si>
  <si>
    <t>C/S ABAJO</t>
  </si>
  <si>
    <t>NPR  NNR NLR (JAC n211)</t>
  </si>
  <si>
    <t>CHEVROLET   JAC</t>
  </si>
  <si>
    <t>DYNA PEQUEÑO</t>
  </si>
  <si>
    <t>A37 A38</t>
  </si>
  <si>
    <t xml:space="preserve">DYNA  </t>
  </si>
  <si>
    <t xml:space="preserve">A37 </t>
  </si>
  <si>
    <t>A39</t>
  </si>
  <si>
    <t>LAT TRASERO IZQ</t>
  </si>
  <si>
    <t>XL7</t>
  </si>
  <si>
    <t>VPD</t>
  </si>
  <si>
    <t>2007-</t>
  </si>
  <si>
    <t>1987-1992</t>
  </si>
  <si>
    <t>CAPELLA 626</t>
  </si>
  <si>
    <t>MEGANNE</t>
  </si>
  <si>
    <t>95-</t>
  </si>
  <si>
    <t>1981-1986</t>
  </si>
  <si>
    <t>1999-2000</t>
  </si>
  <si>
    <t>99-2004</t>
  </si>
  <si>
    <t>ATRIL 2 A7</t>
  </si>
  <si>
    <t>97-</t>
  </si>
  <si>
    <t>ATRIL 2 A6</t>
  </si>
  <si>
    <t>DMAX WINGLE</t>
  </si>
  <si>
    <t>98-</t>
  </si>
  <si>
    <t>FAMILIA</t>
  </si>
  <si>
    <t>ATRIL 2 C4</t>
  </si>
  <si>
    <t xml:space="preserve">ALTO </t>
  </si>
  <si>
    <t>ATRIL 2 C5</t>
  </si>
  <si>
    <t>ATRIL 2 C8</t>
  </si>
  <si>
    <t>AXELA</t>
  </si>
  <si>
    <t>ES GRANDE VM GLASS</t>
  </si>
  <si>
    <t>REVISAR Y PRESENTAR PRIMERO</t>
  </si>
  <si>
    <t>B33</t>
  </si>
  <si>
    <t>B34</t>
  </si>
  <si>
    <t>98&gt;</t>
  </si>
  <si>
    <t>B14</t>
  </si>
  <si>
    <t>JOURNEY</t>
  </si>
  <si>
    <t>B42</t>
  </si>
  <si>
    <t>DEFENSA CROMADA</t>
  </si>
  <si>
    <t>B25</t>
  </si>
  <si>
    <t>C/C</t>
  </si>
  <si>
    <t>B22</t>
  </si>
  <si>
    <t>B20</t>
  </si>
  <si>
    <t>B15</t>
  </si>
  <si>
    <t xml:space="preserve"> S/REDONDO</t>
  </si>
  <si>
    <t>B9</t>
  </si>
  <si>
    <t>B10</t>
  </si>
  <si>
    <t>B19</t>
  </si>
  <si>
    <t>APV / MAVEN</t>
  </si>
  <si>
    <t>SUZUKI / MITSUBISHI</t>
  </si>
  <si>
    <t xml:space="preserve">B7 </t>
  </si>
  <si>
    <t>TRIANGULO CIRCULO</t>
  </si>
  <si>
    <t>B6</t>
  </si>
  <si>
    <t>1988-2010</t>
  </si>
  <si>
    <t xml:space="preserve">B4 </t>
  </si>
  <si>
    <t>SUNNY SENTRA B15</t>
  </si>
  <si>
    <t>B4</t>
  </si>
  <si>
    <t>B3</t>
  </si>
  <si>
    <t>B2</t>
  </si>
  <si>
    <t>N5</t>
  </si>
  <si>
    <t>N4</t>
  </si>
  <si>
    <t>N5 /N4</t>
  </si>
  <si>
    <t>N3</t>
  </si>
  <si>
    <t>N2</t>
  </si>
  <si>
    <t>N1</t>
  </si>
  <si>
    <t>MEDIDAS 75CM X 178 CM</t>
  </si>
  <si>
    <t>1 JAVIER CORNEJO    1 ot #1612   ot 2227   ot 2219 OT 2637 OT 2708 OT 3499 OT 3803 OT 4000 (2) MOTO NOCHERO 1 OT 4605  / OT 4734  OT 6791  OT6972 ot 7500 OT 9539  OT 9924 OT</t>
  </si>
  <si>
    <t>2005-2009</t>
  </si>
  <si>
    <t>bodega 2</t>
  </si>
  <si>
    <t>OT 6402 SR JAVIER 2 SR JAVIER CON SR MARIO</t>
  </si>
  <si>
    <t xml:space="preserve">DERECHA </t>
  </si>
  <si>
    <t>ATRIL 1 C19</t>
  </si>
  <si>
    <t>ALETA</t>
  </si>
  <si>
    <t>3PTAS Y 5PTAS</t>
  </si>
  <si>
    <t>3P 5P</t>
  </si>
  <si>
    <t xml:space="preserve">PRESENTAR </t>
  </si>
  <si>
    <t>NARANJA B7/ N8</t>
  </si>
  <si>
    <t xml:space="preserve"> N8 /NARANJA B2</t>
  </si>
  <si>
    <t>N12</t>
  </si>
  <si>
    <t>PRESENTAR  XQ ARECEN LATERALES</t>
  </si>
  <si>
    <t>MODELO NUEVO</t>
  </si>
  <si>
    <t>5PTAS</t>
  </si>
  <si>
    <t xml:space="preserve"> 5PTAS</t>
  </si>
  <si>
    <t>5PTA PRESSENTAR</t>
  </si>
  <si>
    <t>SEDAN PRESENTAR</t>
  </si>
  <si>
    <t>ATRIL NEGRO / NARANJA B1 A7/N11</t>
  </si>
  <si>
    <t>S/P  PRESENTAR PRIMERO</t>
  </si>
  <si>
    <t>2000-2002</t>
  </si>
  <si>
    <t>PLANA CON PERF</t>
  </si>
  <si>
    <t>5P</t>
  </si>
  <si>
    <t>MEGANNE II</t>
  </si>
  <si>
    <t>A3 CC</t>
  </si>
  <si>
    <t>RAYAS</t>
  </si>
  <si>
    <t>privace</t>
  </si>
  <si>
    <t xml:space="preserve">  VERDE</t>
  </si>
  <si>
    <t>NARANJA B7</t>
  </si>
  <si>
    <t>CONTAINER</t>
  </si>
  <si>
    <t>( 9 CONTAINER)</t>
  </si>
  <si>
    <t>( 4 CONTAINER)</t>
  </si>
  <si>
    <t>(2 EN CONTAINER)</t>
  </si>
  <si>
    <t>(2 CONTAINER)</t>
  </si>
  <si>
    <t>BODEGA 2 CONTAINER</t>
  </si>
  <si>
    <t xml:space="preserve"> CELERIO PIXO</t>
  </si>
  <si>
    <t>ARGENTINA  S/M</t>
  </si>
  <si>
    <t xml:space="preserve">T60   </t>
  </si>
  <si>
    <t>2014-2020</t>
  </si>
  <si>
    <t>LUNETA IZQUIERDA</t>
  </si>
  <si>
    <t>ATRIL 2  C39</t>
  </si>
  <si>
    <t xml:space="preserve">C/S Y    S/S </t>
  </si>
  <si>
    <t>VPTd</t>
  </si>
  <si>
    <t xml:space="preserve">DOBLE CABINA </t>
  </si>
  <si>
    <t xml:space="preserve">atril negro </t>
  </si>
  <si>
    <t xml:space="preserve">A5 </t>
  </si>
  <si>
    <t xml:space="preserve">GOL  C/PERF SW </t>
  </si>
  <si>
    <t>1998-2010</t>
  </si>
  <si>
    <t>LAND CRUISER/PRADO/J150</t>
  </si>
  <si>
    <t>B9/A8</t>
  </si>
  <si>
    <t xml:space="preserve">3N </t>
  </si>
  <si>
    <t xml:space="preserve">A13/3N </t>
  </si>
  <si>
    <t>A2/B3</t>
  </si>
  <si>
    <t>VOLEEX C30</t>
  </si>
  <si>
    <t>1990-1993</t>
  </si>
  <si>
    <t xml:space="preserve">A12/B12 </t>
  </si>
  <si>
    <t>A13/A14</t>
  </si>
  <si>
    <t>ENCORE/IMPALA</t>
  </si>
  <si>
    <t xml:space="preserve">B14 </t>
  </si>
  <si>
    <t>TRANSIT ( CABINA ANCHA 168CM X 118 CM)</t>
  </si>
  <si>
    <t>FORMENTOR</t>
  </si>
  <si>
    <t xml:space="preserve">CUPRA </t>
  </si>
  <si>
    <t>HAVAL</t>
  </si>
  <si>
    <t xml:space="preserve">JOLION </t>
  </si>
  <si>
    <t>B9/B18</t>
  </si>
  <si>
    <t xml:space="preserve">A18 </t>
  </si>
  <si>
    <t xml:space="preserve">A21 </t>
  </si>
  <si>
    <t>C/S C/S</t>
  </si>
  <si>
    <t>A18/A24</t>
  </si>
  <si>
    <t>B16/A25</t>
  </si>
  <si>
    <t>NP300   NAVARA RICH 6</t>
  </si>
  <si>
    <t xml:space="preserve">2 C/D 1S/D </t>
  </si>
  <si>
    <t xml:space="preserve">ALTO K10 </t>
  </si>
  <si>
    <t xml:space="preserve">SIN ALETA MODELO ANTIGUO </t>
  </si>
  <si>
    <t xml:space="preserve">JIATUR </t>
  </si>
  <si>
    <t xml:space="preserve">bodega 2/A29 </t>
  </si>
  <si>
    <t xml:space="preserve">C/P OSCURA </t>
  </si>
  <si>
    <t xml:space="preserve">PRESENTAR PRIMERO </t>
  </si>
  <si>
    <t>NARANJA A8</t>
  </si>
  <si>
    <t xml:space="preserve">ZX/AX </t>
  </si>
  <si>
    <t xml:space="preserve">NARANJA B2  </t>
  </si>
  <si>
    <t xml:space="preserve">NARANJA B2 </t>
  </si>
  <si>
    <t>NARANJA B1 /B2/B3 /B4/B6/B7</t>
  </si>
  <si>
    <t>NARANAJA B7</t>
  </si>
  <si>
    <t>ATRIL  1 B18</t>
  </si>
  <si>
    <t>AVEO SEDAN</t>
  </si>
  <si>
    <t>sa</t>
  </si>
  <si>
    <t>atril mobil</t>
  </si>
  <si>
    <t>zinger</t>
  </si>
  <si>
    <t>luneta</t>
  </si>
  <si>
    <t>A22/ A30</t>
  </si>
  <si>
    <t xml:space="preserve"> ATRIL MOBIL / NARANJA B1</t>
  </si>
  <si>
    <t>B25/A28</t>
  </si>
  <si>
    <t xml:space="preserve">CARRY VAN </t>
  </si>
  <si>
    <t>91-97</t>
  </si>
  <si>
    <t>CAPTUR   QM3/sm3</t>
  </si>
  <si>
    <t>modelo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</si>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</sst>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164" formatCode="_ \$* #,##0_ ;_ \$* \-#,##0_ ;_ \$* \-_ ;_ @_ "/>
    <numFmt numFmtId="165" formatCode="_ * #,##0.00_ ;_ * \-#,##0.00_ ;_ * \-??_ ;_ @_ "/>
    <numFmt numFmtId="166" formatCode="_-* #,##0_-;\-* #,##0_-;_-* \-??_-;_-@_-"/>
    <numFmt numFmtId="167" formatCode="\$#,##0"/>
    <numFmt numFmtId="168" formatCode="#,##0_ ;\-#,##0\ "/>
  </numFmts>
  <fonts count="27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000000"/>
      <name val="Times New Roman"/>
      <family val="1"/>
      <charset val="1"/>
    </font>
    <font>
      <u/>
      <sz val="11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9"/>
      <name val="Times New Roman"/>
      <family val="1"/>
      <charset val="1"/>
    </font>
    <font>
      <b/>
      <sz val="20.5"/>
      <name val="Times New Roman"/>
      <family val="1"/>
      <charset val="1"/>
    </font>
    <font>
      <b/>
      <sz val="11.5"/>
      <name val="Times New Roman"/>
      <family val="1"/>
      <charset val="1"/>
    </font>
    <font>
      <b/>
      <sz val="6.5"/>
      <name val="Times New Roman"/>
      <family val="1"/>
      <charset val="1"/>
    </font>
    <font>
      <b/>
      <sz val="6.5"/>
      <color rgb="FF0000FF"/>
      <name val="Times New Roman"/>
      <family val="1"/>
      <charset val="1"/>
    </font>
    <font>
      <b/>
      <u/>
      <sz val="6.5"/>
      <name val="Times New Roman"/>
      <family val="1"/>
      <charset val="1"/>
    </font>
    <font>
      <b/>
      <sz val="9"/>
      <color rgb="FF365F92"/>
      <name val="Calibri"/>
      <family val="2"/>
      <charset val="1"/>
    </font>
    <font>
      <b/>
      <sz val="9"/>
      <color rgb="FF365F92"/>
      <name val="Calibri"/>
      <family val="1"/>
      <charset val="1"/>
    </font>
    <font>
      <sz val="9"/>
      <color rgb="FF000000"/>
      <name val="Times New Roman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3D69B"/>
      </patternFill>
    </fill>
    <fill>
      <patternFill patternType="solid">
        <fgColor rgb="FFB88BD9"/>
        <bgColor rgb="FFB3A2C7"/>
      </patternFill>
    </fill>
    <fill>
      <patternFill patternType="solid">
        <fgColor rgb="FFD9D9D9"/>
        <bgColor rgb="FFDCE6F2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8" fillId="0" borderId="0" applyBorder="0" applyProtection="0"/>
    <xf numFmtId="42" fontId="1" fillId="0" borderId="0" applyBorder="0" applyAlignment="0" applyProtection="0"/>
    <xf numFmtId="0" fontId="3" fillId="0" borderId="0" applyBorder="0" applyProtection="0"/>
    <xf numFmtId="0" fontId="2" fillId="0" borderId="0"/>
    <xf numFmtId="164" fontId="18" fillId="0" borderId="0" applyBorder="0" applyProtection="0"/>
    <xf numFmtId="164" fontId="18" fillId="0" borderId="0" applyBorder="0" applyProtection="0"/>
  </cellStyleXfs>
  <cellXfs count="19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5" applyFont="1" applyBorder="1" applyProtection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167" fontId="4" fillId="3" borderId="12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7" fontId="4" fillId="3" borderId="1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167" fontId="4" fillId="3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/>
    </xf>
    <xf numFmtId="167" fontId="4" fillId="3" borderId="23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5" xfId="0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4" applyAlignment="1">
      <alignment horizontal="left" vertical="top"/>
    </xf>
    <xf numFmtId="0" fontId="10" fillId="0" borderId="1" xfId="4" applyFont="1" applyBorder="1" applyAlignment="1">
      <alignment horizontal="left" vertical="top" wrapText="1" indent="2"/>
    </xf>
    <xf numFmtId="0" fontId="2" fillId="0" borderId="13" xfId="4" applyBorder="1" applyAlignment="1">
      <alignment horizontal="left" vertical="top" wrapText="1"/>
    </xf>
    <xf numFmtId="0" fontId="2" fillId="0" borderId="27" xfId="4" applyBorder="1" applyAlignment="1">
      <alignment horizontal="left" vertical="top" wrapText="1"/>
    </xf>
    <xf numFmtId="0" fontId="12" fillId="0" borderId="20" xfId="4" applyFont="1" applyBorder="1" applyAlignment="1">
      <alignment horizontal="left" vertical="top" wrapText="1"/>
    </xf>
    <xf numFmtId="0" fontId="2" fillId="0" borderId="28" xfId="4" applyBorder="1" applyAlignment="1">
      <alignment horizontal="left" wrapText="1"/>
    </xf>
    <xf numFmtId="0" fontId="2" fillId="0" borderId="29" xfId="4" applyBorder="1" applyAlignment="1">
      <alignment horizontal="left" wrapText="1"/>
    </xf>
    <xf numFmtId="0" fontId="12" fillId="0" borderId="30" xfId="4" applyFont="1" applyBorder="1" applyAlignment="1">
      <alignment horizontal="left" vertical="top" wrapText="1"/>
    </xf>
    <xf numFmtId="0" fontId="2" fillId="0" borderId="0" xfId="4" applyAlignment="1">
      <alignment horizontal="left" wrapText="1"/>
    </xf>
    <xf numFmtId="0" fontId="2" fillId="0" borderId="31" xfId="4" applyBorder="1" applyAlignment="1">
      <alignment horizontal="left" wrapText="1"/>
    </xf>
    <xf numFmtId="0" fontId="12" fillId="0" borderId="13" xfId="4" applyFont="1" applyBorder="1" applyAlignment="1">
      <alignment horizontal="left" vertical="top" wrapText="1"/>
    </xf>
    <xf numFmtId="0" fontId="2" fillId="0" borderId="27" xfId="4" applyBorder="1" applyAlignment="1">
      <alignment horizontal="left" wrapText="1"/>
    </xf>
    <xf numFmtId="0" fontId="2" fillId="0" borderId="26" xfId="4" applyBorder="1" applyAlignment="1">
      <alignment horizontal="left" wrapText="1"/>
    </xf>
    <xf numFmtId="0" fontId="13" fillId="0" borderId="28" xfId="4" applyFont="1" applyBorder="1" applyAlignment="1">
      <alignment horizontal="left" vertical="top" wrapText="1"/>
    </xf>
    <xf numFmtId="0" fontId="14" fillId="0" borderId="1" xfId="4" applyFont="1" applyBorder="1" applyAlignment="1">
      <alignment horizontal="left" vertical="top" wrapText="1"/>
    </xf>
    <xf numFmtId="0" fontId="14" fillId="0" borderId="1" xfId="4" applyFont="1" applyBorder="1" applyAlignment="1">
      <alignment horizontal="center" vertical="top" wrapText="1"/>
    </xf>
    <xf numFmtId="0" fontId="12" fillId="0" borderId="1" xfId="4" applyFont="1" applyBorder="1" applyAlignment="1">
      <alignment horizontal="center" vertical="top" wrapText="1"/>
    </xf>
    <xf numFmtId="1" fontId="15" fillId="0" borderId="1" xfId="4" applyNumberFormat="1" applyFont="1" applyBorder="1" applyAlignment="1">
      <alignment horizontal="left" vertical="center" indent="2" shrinkToFit="1"/>
    </xf>
    <xf numFmtId="0" fontId="16" fillId="0" borderId="1" xfId="4" applyFont="1" applyBorder="1" applyAlignment="1">
      <alignment horizontal="center" vertical="center" wrapText="1"/>
    </xf>
    <xf numFmtId="0" fontId="2" fillId="0" borderId="1" xfId="4" applyBorder="1" applyAlignment="1">
      <alignment horizontal="left" vertical="top" wrapText="1"/>
    </xf>
    <xf numFmtId="1" fontId="17" fillId="0" borderId="1" xfId="4" applyNumberFormat="1" applyFont="1" applyBorder="1" applyAlignment="1">
      <alignment horizontal="center" vertical="center" shrinkToFit="1"/>
    </xf>
    <xf numFmtId="1" fontId="15" fillId="5" borderId="1" xfId="4" applyNumberFormat="1" applyFont="1" applyFill="1" applyBorder="1" applyAlignment="1">
      <alignment horizontal="left" vertical="center" indent="2" shrinkToFit="1"/>
    </xf>
    <xf numFmtId="0" fontId="16" fillId="5" borderId="1" xfId="4" applyFont="1" applyFill="1" applyBorder="1" applyAlignment="1">
      <alignment horizontal="center" vertical="center" wrapText="1"/>
    </xf>
    <xf numFmtId="0" fontId="2" fillId="5" borderId="1" xfId="4" applyFill="1" applyBorder="1" applyAlignment="1">
      <alignment horizontal="left" vertical="top" wrapText="1"/>
    </xf>
    <xf numFmtId="1" fontId="17" fillId="5" borderId="1" xfId="4" applyNumberFormat="1" applyFont="1" applyFill="1" applyBorder="1" applyAlignment="1">
      <alignment horizontal="center" vertical="center" shrinkToFit="1"/>
    </xf>
    <xf numFmtId="1" fontId="15" fillId="0" borderId="1" xfId="4" applyNumberFormat="1" applyFont="1" applyBorder="1" applyAlignment="1">
      <alignment horizontal="center" vertical="center" shrinkToFit="1"/>
    </xf>
    <xf numFmtId="1" fontId="15" fillId="5" borderId="1" xfId="4" applyNumberFormat="1" applyFont="1" applyFill="1" applyBorder="1" applyAlignment="1">
      <alignment horizontal="center" vertical="center" shrinkToFit="1"/>
    </xf>
    <xf numFmtId="0" fontId="4" fillId="0" borderId="3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 wrapText="1" shrinkToFit="1"/>
    </xf>
    <xf numFmtId="1" fontId="0" fillId="0" borderId="14" xfId="0" applyNumberForma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3" fontId="0" fillId="0" borderId="14" xfId="0" applyNumberForma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3" fillId="0" borderId="25" xfId="3" applyBorder="1" applyAlignment="1" applyProtection="1">
      <alignment horizontal="center" wrapText="1"/>
    </xf>
    <xf numFmtId="0" fontId="3" fillId="0" borderId="25" xfId="3" applyBorder="1" applyAlignment="1" applyProtection="1">
      <alignment horizontal="center"/>
    </xf>
    <xf numFmtId="0" fontId="8" fillId="0" borderId="16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3" applyBorder="1" applyAlignment="1" applyProtection="1">
      <alignment horizontal="center"/>
    </xf>
    <xf numFmtId="0" fontId="7" fillId="0" borderId="0" xfId="0" applyFont="1" applyAlignment="1">
      <alignment horizontal="center"/>
    </xf>
    <xf numFmtId="0" fontId="20" fillId="0" borderId="0" xfId="0" applyFont="1"/>
    <xf numFmtId="167" fontId="20" fillId="4" borderId="0" xfId="0" applyNumberFormat="1" applyFont="1" applyFill="1"/>
    <xf numFmtId="0" fontId="20" fillId="0" borderId="0" xfId="0" applyFont="1" applyAlignment="1">
      <alignment horizontal="center"/>
    </xf>
    <xf numFmtId="167" fontId="20" fillId="0" borderId="0" xfId="0" applyNumberFormat="1" applyFont="1"/>
    <xf numFmtId="3" fontId="20" fillId="0" borderId="0" xfId="0" applyNumberFormat="1" applyFont="1"/>
    <xf numFmtId="164" fontId="20" fillId="0" borderId="0" xfId="5" applyFont="1" applyBorder="1" applyProtection="1"/>
    <xf numFmtId="0" fontId="20" fillId="7" borderId="0" xfId="0" applyFont="1" applyFill="1"/>
    <xf numFmtId="0" fontId="20" fillId="7" borderId="0" xfId="0" applyFont="1" applyFill="1" applyAlignment="1">
      <alignment horizontal="center"/>
    </xf>
    <xf numFmtId="167" fontId="20" fillId="7" borderId="0" xfId="0" applyNumberFormat="1" applyFont="1" applyFill="1"/>
    <xf numFmtId="3" fontId="20" fillId="7" borderId="0" xfId="0" applyNumberFormat="1" applyFont="1" applyFill="1"/>
    <xf numFmtId="164" fontId="20" fillId="7" borderId="0" xfId="5" applyFont="1" applyFill="1" applyBorder="1" applyProtection="1"/>
    <xf numFmtId="1" fontId="20" fillId="0" borderId="0" xfId="0" applyNumberFormat="1" applyFont="1"/>
    <xf numFmtId="0" fontId="21" fillId="0" borderId="0" xfId="0" applyFont="1"/>
    <xf numFmtId="0" fontId="20" fillId="0" borderId="1" xfId="0" applyFont="1" applyBorder="1" applyAlignment="1">
      <alignment horizontal="center"/>
    </xf>
    <xf numFmtId="42" fontId="1" fillId="0" borderId="0" xfId="2"/>
    <xf numFmtId="164" fontId="0" fillId="0" borderId="0" xfId="5" applyFont="1" applyBorder="1" applyAlignment="1" applyProtection="1">
      <alignment horizontal="center"/>
    </xf>
    <xf numFmtId="164" fontId="0" fillId="0" borderId="0" xfId="5" applyFont="1" applyBorder="1" applyAlignment="1" applyProtection="1">
      <alignment vertical="center"/>
    </xf>
    <xf numFmtId="3" fontId="0" fillId="0" borderId="0" xfId="0" applyNumberFormat="1" applyAlignment="1">
      <alignment vertical="center"/>
    </xf>
    <xf numFmtId="3" fontId="6" fillId="0" borderId="0" xfId="3" applyNumberFormat="1" applyFont="1" applyBorder="1" applyAlignment="1" applyProtection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8" fillId="0" borderId="0" xfId="0" applyFont="1" applyAlignment="1">
      <alignment horizontal="center" wrapText="1"/>
    </xf>
    <xf numFmtId="14" fontId="4" fillId="0" borderId="0" xfId="0" applyNumberFormat="1" applyFont="1"/>
    <xf numFmtId="0" fontId="4" fillId="0" borderId="0" xfId="0" applyFont="1"/>
    <xf numFmtId="42" fontId="1" fillId="0" borderId="0" xfId="2" applyAlignment="1" applyProtection="1">
      <alignment horizontal="center"/>
    </xf>
    <xf numFmtId="168" fontId="1" fillId="0" borderId="0" xfId="2" applyNumberFormat="1" applyAlignment="1" applyProtection="1">
      <alignment horizontal="center"/>
    </xf>
    <xf numFmtId="0" fontId="23" fillId="8" borderId="0" xfId="0" applyFont="1" applyFill="1"/>
    <xf numFmtId="0" fontId="23" fillId="8" borderId="0" xfId="0" applyFont="1" applyFill="1" applyAlignment="1">
      <alignment horizontal="center"/>
    </xf>
    <xf numFmtId="3" fontId="23" fillId="8" borderId="0" xfId="0" applyNumberFormat="1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3" fontId="0" fillId="8" borderId="0" xfId="0" applyNumberFormat="1" applyFill="1" applyAlignment="1">
      <alignment horizontal="center"/>
    </xf>
    <xf numFmtId="0" fontId="20" fillId="8" borderId="0" xfId="0" applyFont="1" applyFill="1"/>
    <xf numFmtId="0" fontId="20" fillId="8" borderId="0" xfId="0" applyFont="1" applyFill="1" applyAlignment="1">
      <alignment horizontal="center"/>
    </xf>
    <xf numFmtId="3" fontId="20" fillId="8" borderId="0" xfId="0" applyNumberFormat="1" applyFont="1" applyFill="1" applyAlignment="1">
      <alignment horizontal="center"/>
    </xf>
    <xf numFmtId="3" fontId="20" fillId="0" borderId="0" xfId="0" applyNumberFormat="1" applyFont="1" applyAlignment="1">
      <alignment horizontal="center"/>
    </xf>
    <xf numFmtId="3" fontId="20" fillId="8" borderId="0" xfId="0" applyNumberFormat="1" applyFont="1" applyFill="1" applyAlignment="1">
      <alignment vertical="center"/>
    </xf>
    <xf numFmtId="0" fontId="0" fillId="8" borderId="0" xfId="0" applyFill="1" applyAlignment="1">
      <alignment vertic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42" fontId="24" fillId="8" borderId="0" xfId="2" applyFont="1" applyFill="1" applyAlignment="1" applyProtection="1">
      <alignment vertical="center"/>
    </xf>
    <xf numFmtId="0" fontId="20" fillId="8" borderId="0" xfId="0" applyFont="1" applyFill="1" applyAlignment="1">
      <alignment vertical="center"/>
    </xf>
    <xf numFmtId="0" fontId="20" fillId="8" borderId="0" xfId="0" applyFont="1" applyFill="1" applyAlignment="1">
      <alignment horizontal="center" vertical="center"/>
    </xf>
    <xf numFmtId="0" fontId="5" fillId="8" borderId="0" xfId="0" applyFont="1" applyFill="1"/>
    <xf numFmtId="0" fontId="25" fillId="8" borderId="0" xfId="0" applyFont="1" applyFill="1"/>
    <xf numFmtId="42" fontId="1" fillId="8" borderId="0" xfId="2" applyFill="1" applyAlignment="1" applyProtection="1">
      <alignment vertical="center"/>
    </xf>
    <xf numFmtId="42" fontId="1" fillId="8" borderId="0" xfId="2" applyFill="1" applyAlignment="1" applyProtection="1">
      <alignment horizontal="center"/>
    </xf>
    <xf numFmtId="42" fontId="24" fillId="8" borderId="0" xfId="2" applyFont="1" applyFill="1" applyAlignment="1" applyProtection="1">
      <alignment horizontal="center"/>
    </xf>
    <xf numFmtId="168" fontId="24" fillId="8" borderId="0" xfId="2" applyNumberFormat="1" applyFont="1" applyFill="1" applyAlignment="1" applyProtection="1">
      <alignment horizontal="center"/>
    </xf>
    <xf numFmtId="3" fontId="4" fillId="8" borderId="0" xfId="0" applyNumberFormat="1" applyFont="1" applyFill="1" applyAlignment="1">
      <alignment horizontal="center"/>
    </xf>
    <xf numFmtId="0" fontId="22" fillId="8" borderId="0" xfId="0" applyFont="1" applyFill="1"/>
    <xf numFmtId="0" fontId="22" fillId="8" borderId="0" xfId="0" applyFont="1" applyFill="1" applyAlignment="1">
      <alignment horizontal="center"/>
    </xf>
    <xf numFmtId="3" fontId="0" fillId="0" borderId="1" xfId="0" applyNumberFormat="1" applyBorder="1"/>
    <xf numFmtId="1" fontId="20" fillId="8" borderId="0" xfId="6" applyNumberFormat="1" applyFont="1" applyFill="1" applyBorder="1" applyAlignment="1" applyProtection="1">
      <alignment horizontal="center"/>
    </xf>
    <xf numFmtId="0" fontId="23" fillId="9" borderId="0" xfId="0" applyFont="1" applyFill="1"/>
    <xf numFmtId="0" fontId="23" fillId="9" borderId="0" xfId="0" applyFont="1" applyFill="1" applyAlignment="1">
      <alignment horizontal="center"/>
    </xf>
    <xf numFmtId="3" fontId="23" fillId="9" borderId="0" xfId="0" applyNumberFormat="1" applyFont="1" applyFill="1" applyAlignment="1">
      <alignment horizontal="center"/>
    </xf>
    <xf numFmtId="0" fontId="26" fillId="9" borderId="0" xfId="0" applyFont="1" applyFill="1"/>
    <xf numFmtId="0" fontId="20" fillId="9" borderId="0" xfId="0" applyFont="1" applyFill="1"/>
    <xf numFmtId="0" fontId="20" fillId="9" borderId="0" xfId="0" applyFont="1" applyFill="1" applyAlignment="1">
      <alignment horizontal="center"/>
    </xf>
    <xf numFmtId="3" fontId="20" fillId="9" borderId="0" xfId="0" applyNumberFormat="1" applyFont="1" applyFill="1" applyAlignment="1">
      <alignment horizontal="center"/>
    </xf>
    <xf numFmtId="0" fontId="0" fillId="9" borderId="0" xfId="0" applyFill="1"/>
    <xf numFmtId="0" fontId="4" fillId="2" borderId="1" xfId="0" applyFont="1" applyFill="1" applyBorder="1" applyAlignment="1">
      <alignment horizontal="left" vertical="center"/>
    </xf>
    <xf numFmtId="0" fontId="20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3" fillId="8" borderId="0" xfId="0" applyFont="1" applyFill="1" applyAlignment="1">
      <alignment horizontal="left"/>
    </xf>
    <xf numFmtId="166" fontId="23" fillId="8" borderId="0" xfId="1" applyNumberFormat="1" applyFont="1" applyFill="1" applyBorder="1" applyAlignment="1" applyProtection="1">
      <alignment horizontal="left"/>
    </xf>
    <xf numFmtId="0" fontId="20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3" applyBorder="1" applyAlignment="1" applyProtection="1">
      <alignment horizontal="left"/>
    </xf>
    <xf numFmtId="0" fontId="4" fillId="8" borderId="0" xfId="0" applyFont="1" applyFill="1" applyAlignment="1">
      <alignment horizontal="left"/>
    </xf>
    <xf numFmtId="0" fontId="16" fillId="5" borderId="1" xfId="4" applyFont="1" applyFill="1" applyBorder="1" applyAlignment="1">
      <alignment horizontal="left" vertical="center" wrapText="1" indent="2"/>
    </xf>
    <xf numFmtId="0" fontId="16" fillId="0" borderId="1" xfId="4" applyFont="1" applyBorder="1" applyAlignment="1">
      <alignment horizontal="left" vertical="center" wrapText="1" indent="3"/>
    </xf>
    <xf numFmtId="0" fontId="16" fillId="0" borderId="1" xfId="4" applyFont="1" applyBorder="1" applyAlignment="1">
      <alignment horizontal="left" vertical="center" wrapText="1" indent="7"/>
    </xf>
    <xf numFmtId="0" fontId="16" fillId="5" borderId="1" xfId="4" applyFont="1" applyFill="1" applyBorder="1" applyAlignment="1">
      <alignment horizontal="left" vertical="center" wrapText="1" indent="7"/>
    </xf>
    <xf numFmtId="0" fontId="16" fillId="0" borderId="1" xfId="4" applyFont="1" applyBorder="1" applyAlignment="1">
      <alignment horizontal="left" vertical="center" wrapText="1" indent="2"/>
    </xf>
    <xf numFmtId="0" fontId="16" fillId="5" borderId="1" xfId="4" applyFont="1" applyFill="1" applyBorder="1" applyAlignment="1">
      <alignment horizontal="left" vertical="center" wrapText="1" indent="4"/>
    </xf>
    <xf numFmtId="0" fontId="16" fillId="0" borderId="1" xfId="4" applyFont="1" applyBorder="1" applyAlignment="1">
      <alignment horizontal="left" vertical="center" wrapText="1" indent="5"/>
    </xf>
    <xf numFmtId="0" fontId="2" fillId="0" borderId="13" xfId="4" applyBorder="1" applyAlignment="1">
      <alignment horizontal="left" wrapText="1"/>
    </xf>
    <xf numFmtId="0" fontId="2" fillId="0" borderId="27" xfId="4" applyBorder="1" applyAlignment="1">
      <alignment horizontal="left" wrapText="1"/>
    </xf>
    <xf numFmtId="0" fontId="14" fillId="0" borderId="1" xfId="4" applyFont="1" applyBorder="1" applyAlignment="1">
      <alignment horizontal="left" vertical="top" wrapText="1" indent="4"/>
    </xf>
    <xf numFmtId="0" fontId="16" fillId="0" borderId="1" xfId="4" applyFont="1" applyBorder="1" applyAlignment="1">
      <alignment horizontal="left" vertical="center" wrapText="1" indent="8"/>
    </xf>
    <xf numFmtId="0" fontId="16" fillId="5" borderId="1" xfId="4" applyFont="1" applyFill="1" applyBorder="1" applyAlignment="1">
      <alignment horizontal="left" vertical="center" wrapText="1" indent="5"/>
    </xf>
    <xf numFmtId="0" fontId="12" fillId="0" borderId="13" xfId="4" applyFont="1" applyBorder="1" applyAlignment="1">
      <alignment horizontal="left" vertical="top" wrapText="1"/>
    </xf>
    <xf numFmtId="0" fontId="12" fillId="0" borderId="30" xfId="4" applyFont="1" applyBorder="1" applyAlignment="1">
      <alignment horizontal="left" vertical="top" wrapText="1"/>
    </xf>
    <xf numFmtId="0" fontId="12" fillId="0" borderId="0" xfId="4" applyFont="1" applyAlignment="1">
      <alignment horizontal="left" vertical="top" wrapText="1" indent="3"/>
    </xf>
    <xf numFmtId="0" fontId="12" fillId="0" borderId="20" xfId="4" applyFont="1" applyBorder="1" applyAlignment="1">
      <alignment horizontal="left" vertical="top" wrapText="1"/>
    </xf>
    <xf numFmtId="0" fontId="2" fillId="0" borderId="0" xfId="4" applyAlignment="1">
      <alignment horizontal="left" wrapText="1"/>
    </xf>
    <xf numFmtId="0" fontId="9" fillId="0" borderId="0" xfId="4" applyFont="1" applyAlignment="1">
      <alignment horizontal="center" vertical="top" wrapText="1"/>
    </xf>
    <xf numFmtId="0" fontId="2" fillId="0" borderId="26" xfId="4" applyBorder="1" applyAlignment="1">
      <alignment horizontal="left" vertical="top" wrapText="1"/>
    </xf>
    <xf numFmtId="0" fontId="11" fillId="0" borderId="27" xfId="4" applyFont="1" applyBorder="1" applyAlignment="1">
      <alignment horizontal="left" vertical="top" wrapText="1" indent="5"/>
    </xf>
  </cellXfs>
  <cellStyles count="7">
    <cellStyle name="Excel Built-in Currency [0] 1" xfId="5" xr:uid="{00000000-0005-0000-0000-000008000000}"/>
    <cellStyle name="Excel Built-in Currency [0] 2" xfId="6" xr:uid="{00000000-0005-0000-0000-000009000000}"/>
    <cellStyle name="Hipervínculo" xfId="3" builtinId="8"/>
    <cellStyle name="Millares" xfId="1" builtinId="3"/>
    <cellStyle name="Moneda [0]" xfId="2" builtinId="7"/>
    <cellStyle name="Normal" xfId="0" builtinId="0"/>
    <cellStyle name="Normal 2" xfId="4" xr:uid="{00000000-0005-0000-0000-000006000000}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66FFFF"/>
      <rgbColor rgb="FFC00000"/>
      <rgbColor rgb="FF008000"/>
      <rgbColor rgb="FF000080"/>
      <rgbColor rgb="FF77933C"/>
      <rgbColor rgb="FF800080"/>
      <rgbColor rgb="FF558ED5"/>
      <rgbColor rgb="FFC3D69B"/>
      <rgbColor rgb="FF7F7F7F"/>
      <rgbColor rgb="FF8EB4E3"/>
      <rgbColor rgb="FF953735"/>
      <rgbColor rgb="FFEBF1DE"/>
      <rgbColor rgb="FFDEEBF7"/>
      <rgbColor rgb="FF660066"/>
      <rgbColor rgb="FFD99694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2"/>
      <rgbColor rgb="FFD9D9D9"/>
      <rgbColor rgb="FFFCD5B5"/>
      <rgbColor rgb="FF93CDDD"/>
      <rgbColor rgb="FFE6B9B8"/>
      <rgbColor rgb="FFB88BD9"/>
      <rgbColor rgb="FFF8CBAD"/>
      <rgbColor rgb="FF365F92"/>
      <rgbColor rgb="FF729FCF"/>
      <rgbColor rgb="FF92D050"/>
      <rgbColor rgb="FFFFC000"/>
      <rgbColor rgb="FFFAC090"/>
      <rgbColor rgb="FFE46C0A"/>
      <rgbColor rgb="FF8064A2"/>
      <rgbColor rgb="FFB3A2C7"/>
      <rgbColor rgb="FF10243E"/>
      <rgbColor rgb="FF00B050"/>
      <rgbColor rgb="FF003300"/>
      <rgbColor rgb="FF333300"/>
      <rgbColor rgb="FF993300"/>
      <rgbColor rgb="FF7030A0"/>
      <rgbColor rgb="FF604A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806760</xdr:colOff>
      <xdr:row>4</xdr:row>
      <xdr:rowOff>20880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2196000" cy="59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50400</xdr:colOff>
      <xdr:row>0</xdr:row>
      <xdr:rowOff>0</xdr:rowOff>
    </xdr:from>
    <xdr:to>
      <xdr:col>1</xdr:col>
      <xdr:colOff>534960</xdr:colOff>
      <xdr:row>3</xdr:row>
      <xdr:rowOff>50040</xdr:rowOff>
    </xdr:to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400" y="0"/>
          <a:ext cx="1239480" cy="70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32400</xdr:colOff>
      <xdr:row>10</xdr:row>
      <xdr:rowOff>92880</xdr:rowOff>
    </xdr:from>
    <xdr:to>
      <xdr:col>6</xdr:col>
      <xdr:colOff>1113120</xdr:colOff>
      <xdr:row>10</xdr:row>
      <xdr:rowOff>601200</xdr:rowOff>
    </xdr:to>
    <xdr:pic>
      <xdr:nvPicPr>
        <xdr:cNvPr id="11" name="image2.jpe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140360" y="1836000"/>
          <a:ext cx="1080720" cy="50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32400</xdr:colOff>
      <xdr:row>11</xdr:row>
      <xdr:rowOff>61200</xdr:rowOff>
    </xdr:from>
    <xdr:to>
      <xdr:col>6</xdr:col>
      <xdr:colOff>1107000</xdr:colOff>
      <xdr:row>11</xdr:row>
      <xdr:rowOff>616320</xdr:rowOff>
    </xdr:to>
    <xdr:pic>
      <xdr:nvPicPr>
        <xdr:cNvPr id="12" name="image3.jpe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140360" y="2537640"/>
          <a:ext cx="1074600" cy="55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20880</xdr:colOff>
      <xdr:row>12</xdr:row>
      <xdr:rowOff>87120</xdr:rowOff>
    </xdr:from>
    <xdr:to>
      <xdr:col>6</xdr:col>
      <xdr:colOff>1146600</xdr:colOff>
      <xdr:row>12</xdr:row>
      <xdr:rowOff>595440</xdr:rowOff>
    </xdr:to>
    <xdr:pic>
      <xdr:nvPicPr>
        <xdr:cNvPr id="13" name="image4.jpe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128840" y="3296880"/>
          <a:ext cx="1125720" cy="50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32400</xdr:colOff>
      <xdr:row>13</xdr:row>
      <xdr:rowOff>71640</xdr:rowOff>
    </xdr:from>
    <xdr:to>
      <xdr:col>6</xdr:col>
      <xdr:colOff>1135800</xdr:colOff>
      <xdr:row>13</xdr:row>
      <xdr:rowOff>632880</xdr:rowOff>
    </xdr:to>
    <xdr:pic>
      <xdr:nvPicPr>
        <xdr:cNvPr id="14" name="image5.jpe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140360" y="4015080"/>
          <a:ext cx="1103400" cy="56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60840</xdr:colOff>
      <xdr:row>14</xdr:row>
      <xdr:rowOff>134640</xdr:rowOff>
    </xdr:from>
    <xdr:to>
      <xdr:col>6</xdr:col>
      <xdr:colOff>1124280</xdr:colOff>
      <xdr:row>14</xdr:row>
      <xdr:rowOff>574200</xdr:rowOff>
    </xdr:to>
    <xdr:pic>
      <xdr:nvPicPr>
        <xdr:cNvPr id="15" name="image6.jpe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168800" y="4811400"/>
          <a:ext cx="1063440" cy="43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140760</xdr:colOff>
      <xdr:row>15</xdr:row>
      <xdr:rowOff>23400</xdr:rowOff>
    </xdr:from>
    <xdr:to>
      <xdr:col>6</xdr:col>
      <xdr:colOff>1015560</xdr:colOff>
      <xdr:row>15</xdr:row>
      <xdr:rowOff>648000</xdr:rowOff>
    </xdr:to>
    <xdr:pic>
      <xdr:nvPicPr>
        <xdr:cNvPr id="16" name="image7.jpe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248720" y="5433480"/>
          <a:ext cx="874800" cy="62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83520</xdr:colOff>
      <xdr:row>16</xdr:row>
      <xdr:rowOff>76680</xdr:rowOff>
    </xdr:from>
    <xdr:to>
      <xdr:col>6</xdr:col>
      <xdr:colOff>1084320</xdr:colOff>
      <xdr:row>16</xdr:row>
      <xdr:rowOff>605880</xdr:rowOff>
    </xdr:to>
    <xdr:pic>
      <xdr:nvPicPr>
        <xdr:cNvPr id="17" name="image8.jpeg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191480" y="6220440"/>
          <a:ext cx="1000800" cy="52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20880</xdr:colOff>
      <xdr:row>17</xdr:row>
      <xdr:rowOff>50040</xdr:rowOff>
    </xdr:from>
    <xdr:to>
      <xdr:col>6</xdr:col>
      <xdr:colOff>1146600</xdr:colOff>
      <xdr:row>17</xdr:row>
      <xdr:rowOff>626760</xdr:rowOff>
    </xdr:to>
    <xdr:pic>
      <xdr:nvPicPr>
        <xdr:cNvPr id="18" name="image9.jpeg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128840" y="6927120"/>
          <a:ext cx="1125720" cy="57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32400</xdr:colOff>
      <xdr:row>18</xdr:row>
      <xdr:rowOff>91800</xdr:rowOff>
    </xdr:from>
    <xdr:to>
      <xdr:col>6</xdr:col>
      <xdr:colOff>1113120</xdr:colOff>
      <xdr:row>18</xdr:row>
      <xdr:rowOff>600120</xdr:rowOff>
    </xdr:to>
    <xdr:pic>
      <xdr:nvPicPr>
        <xdr:cNvPr id="19" name="image10.jpeg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140360" y="7702200"/>
          <a:ext cx="1080720" cy="50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171360</xdr:rowOff>
    </xdr:from>
    <xdr:to>
      <xdr:col>19</xdr:col>
      <xdr:colOff>718200</xdr:colOff>
      <xdr:row>38</xdr:row>
      <xdr:rowOff>146520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/>
      </xdr:nvPicPr>
      <xdr:blipFill>
        <a:blip xmlns:r="http://schemas.openxmlformats.org/officeDocument/2006/relationships" r:embed="rId1"/>
        <a:srcRect t="21782" b="15767"/>
        <a:stretch/>
      </xdr:blipFill>
      <xdr:spPr>
        <a:xfrm>
          <a:off x="0" y="2076480"/>
          <a:ext cx="15063480" cy="5308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1228680</xdr:colOff>
      <xdr:row>0</xdr:row>
      <xdr:rowOff>66600</xdr:rowOff>
    </xdr:from>
    <xdr:to>
      <xdr:col>2</xdr:col>
      <xdr:colOff>50760</xdr:colOff>
      <xdr:row>2</xdr:row>
      <xdr:rowOff>133560</xdr:rowOff>
    </xdr:to>
    <xdr:pic>
      <xdr:nvPicPr>
        <xdr:cNvPr id="29" name="Imagen 1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83600" y="66600"/>
          <a:ext cx="1933560" cy="447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vier.cornejo@ingecorn.c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M939"/>
  <sheetViews>
    <sheetView tabSelected="1" topLeftCell="A206" zoomScale="110" zoomScaleNormal="110" workbookViewId="0">
      <selection activeCell="B261" sqref="B261"/>
    </sheetView>
  </sheetViews>
  <sheetFormatPr baseColWidth="10" defaultColWidth="10.7109375" defaultRowHeight="15" x14ac:dyDescent="0.25"/>
  <cols>
    <col min="1" max="1" width="21.7109375" customWidth="1"/>
    <col min="2" max="2" width="34" style="168" customWidth="1"/>
    <col min="3" max="3" width="13.7109375" style="1" bestFit="1" customWidth="1"/>
    <col min="4" max="4" width="21.140625" style="1" customWidth="1"/>
    <col min="5" max="5" width="15.140625" style="1" customWidth="1"/>
    <col min="6" max="6" width="23.140625" customWidth="1"/>
    <col min="7" max="7" width="9.5703125" style="1" customWidth="1"/>
    <col min="8" max="8" width="16.42578125" style="1" customWidth="1"/>
    <col min="9" max="9" width="15.42578125" style="2" customWidth="1"/>
  </cols>
  <sheetData>
    <row r="1" spans="1:10" s="8" customFormat="1" x14ac:dyDescent="0.25">
      <c r="A1" s="3" t="s">
        <v>0</v>
      </c>
      <c r="B1" s="165" t="s">
        <v>2069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spans="1:10" x14ac:dyDescent="0.25">
      <c r="A2" s="135" t="s">
        <v>1618</v>
      </c>
      <c r="B2" s="166" t="s">
        <v>2026</v>
      </c>
      <c r="C2" s="136" t="s">
        <v>197</v>
      </c>
      <c r="D2" s="136" t="s">
        <v>1964</v>
      </c>
      <c r="E2" s="136" t="s">
        <v>11</v>
      </c>
      <c r="F2" s="136" t="s">
        <v>537</v>
      </c>
      <c r="G2" s="136">
        <v>1</v>
      </c>
      <c r="H2" s="137">
        <v>51000</v>
      </c>
      <c r="I2" s="137">
        <f>H2*2+20000</f>
        <v>122000</v>
      </c>
      <c r="J2" s="135"/>
    </row>
    <row r="3" spans="1:10" ht="13.5" customHeight="1" x14ac:dyDescent="0.25">
      <c r="A3" s="135"/>
      <c r="B3" s="166" t="s">
        <v>2070</v>
      </c>
      <c r="C3" s="136" t="s">
        <v>197</v>
      </c>
      <c r="D3" s="136" t="s">
        <v>1864</v>
      </c>
      <c r="E3" s="136" t="s">
        <v>13</v>
      </c>
      <c r="F3" s="135"/>
      <c r="G3" s="136">
        <v>1</v>
      </c>
      <c r="H3" s="137">
        <v>35000</v>
      </c>
      <c r="I3" s="137">
        <f>H3*2+20000</f>
        <v>90000</v>
      </c>
      <c r="J3" s="135"/>
    </row>
    <row r="4" spans="1:10" s="135" customFormat="1" x14ac:dyDescent="0.25">
      <c r="A4" s="132" t="s">
        <v>186</v>
      </c>
      <c r="B4" s="167" t="s">
        <v>187</v>
      </c>
      <c r="C4" s="133">
        <v>2003</v>
      </c>
      <c r="D4" s="136" t="s">
        <v>32</v>
      </c>
      <c r="E4" s="133" t="s">
        <v>13</v>
      </c>
      <c r="F4" s="133" t="s">
        <v>1980</v>
      </c>
      <c r="G4" s="133">
        <v>1</v>
      </c>
      <c r="H4" s="133">
        <v>45000</v>
      </c>
      <c r="I4" s="140">
        <f>H4*2+20000</f>
        <v>110000</v>
      </c>
      <c r="J4" s="132"/>
    </row>
    <row r="5" spans="1:10" x14ac:dyDescent="0.25">
      <c r="A5" t="s">
        <v>401</v>
      </c>
      <c r="B5" s="168" t="s">
        <v>402</v>
      </c>
      <c r="D5" s="1" t="s">
        <v>1974</v>
      </c>
      <c r="E5" s="1" t="s">
        <v>11</v>
      </c>
      <c r="G5" s="1">
        <v>6</v>
      </c>
      <c r="H5" s="98"/>
      <c r="I5" s="98"/>
    </row>
    <row r="6" spans="1:10" s="135" customFormat="1" x14ac:dyDescent="0.25">
      <c r="A6" t="s">
        <v>401</v>
      </c>
      <c r="B6" s="168" t="s">
        <v>402</v>
      </c>
      <c r="C6" s="1"/>
      <c r="D6" s="1" t="s">
        <v>1974</v>
      </c>
      <c r="E6" s="1" t="s">
        <v>11</v>
      </c>
      <c r="F6"/>
      <c r="G6" s="1">
        <v>1</v>
      </c>
      <c r="H6" s="98"/>
      <c r="I6" s="98"/>
      <c r="J6"/>
    </row>
    <row r="7" spans="1:10" s="135" customFormat="1" x14ac:dyDescent="0.25">
      <c r="A7" t="s">
        <v>401</v>
      </c>
      <c r="B7" s="168" t="s">
        <v>658</v>
      </c>
      <c r="C7" s="1"/>
      <c r="D7" s="1">
        <v>121</v>
      </c>
      <c r="E7" s="1" t="s">
        <v>11</v>
      </c>
      <c r="F7"/>
      <c r="G7" s="1">
        <v>5</v>
      </c>
      <c r="H7" s="98">
        <v>55000</v>
      </c>
      <c r="I7" s="98">
        <f t="shared" ref="I7:I28" si="0">H7*2+20000</f>
        <v>130000</v>
      </c>
      <c r="J7"/>
    </row>
    <row r="8" spans="1:10" x14ac:dyDescent="0.25">
      <c r="A8" t="s">
        <v>398</v>
      </c>
      <c r="B8" s="168" t="s">
        <v>399</v>
      </c>
      <c r="D8" s="1" t="s">
        <v>1974</v>
      </c>
      <c r="E8" s="1" t="s">
        <v>11</v>
      </c>
      <c r="F8" t="s">
        <v>400</v>
      </c>
      <c r="G8" s="1">
        <v>6</v>
      </c>
      <c r="H8" s="98">
        <v>55000</v>
      </c>
      <c r="I8" s="98">
        <f t="shared" si="0"/>
        <v>130000</v>
      </c>
    </row>
    <row r="9" spans="1:10" x14ac:dyDescent="0.25">
      <c r="A9" t="s">
        <v>398</v>
      </c>
      <c r="B9" s="168" t="s">
        <v>399</v>
      </c>
      <c r="D9" s="1" t="s">
        <v>1974</v>
      </c>
      <c r="E9" s="1" t="s">
        <v>11</v>
      </c>
      <c r="F9" t="s">
        <v>400</v>
      </c>
      <c r="G9" s="1">
        <v>9</v>
      </c>
      <c r="H9" s="98">
        <v>55000</v>
      </c>
      <c r="I9" s="98">
        <f t="shared" si="0"/>
        <v>130000</v>
      </c>
    </row>
    <row r="10" spans="1:10" s="135" customFormat="1" x14ac:dyDescent="0.25">
      <c r="A10" t="s">
        <v>132</v>
      </c>
      <c r="B10" s="168" t="s">
        <v>134</v>
      </c>
      <c r="C10" s="1" t="s">
        <v>19</v>
      </c>
      <c r="D10" s="1"/>
      <c r="E10" s="1" t="s">
        <v>11</v>
      </c>
      <c r="F10"/>
      <c r="G10" s="1">
        <v>0</v>
      </c>
      <c r="H10" s="1">
        <v>78000</v>
      </c>
      <c r="I10" s="98">
        <f t="shared" si="0"/>
        <v>176000</v>
      </c>
      <c r="J10"/>
    </row>
    <row r="11" spans="1:10" x14ac:dyDescent="0.25">
      <c r="A11" t="s">
        <v>132</v>
      </c>
      <c r="B11" s="168" t="s">
        <v>135</v>
      </c>
      <c r="C11" s="1" t="s">
        <v>36</v>
      </c>
      <c r="D11" s="1" t="s">
        <v>997</v>
      </c>
      <c r="E11" s="1" t="s">
        <v>13</v>
      </c>
      <c r="G11" s="1">
        <v>1</v>
      </c>
      <c r="H11" s="98">
        <v>30000</v>
      </c>
      <c r="I11" s="98">
        <f t="shared" si="0"/>
        <v>80000</v>
      </c>
    </row>
    <row r="12" spans="1:10" s="135" customFormat="1" x14ac:dyDescent="0.25">
      <c r="A12" t="s">
        <v>132</v>
      </c>
      <c r="B12" s="168" t="s">
        <v>138</v>
      </c>
      <c r="C12" s="1" t="s">
        <v>139</v>
      </c>
      <c r="D12" s="1" t="s">
        <v>27</v>
      </c>
      <c r="E12" s="1" t="s">
        <v>11</v>
      </c>
      <c r="F12"/>
      <c r="G12" s="1">
        <v>0</v>
      </c>
      <c r="H12" s="1">
        <v>63000</v>
      </c>
      <c r="I12" s="98">
        <f t="shared" si="0"/>
        <v>146000</v>
      </c>
      <c r="J12"/>
    </row>
    <row r="13" spans="1:10" x14ac:dyDescent="0.25">
      <c r="A13" s="135" t="s">
        <v>132</v>
      </c>
      <c r="B13" s="166" t="s">
        <v>140</v>
      </c>
      <c r="C13" s="136" t="s">
        <v>141</v>
      </c>
      <c r="D13" s="136" t="s">
        <v>27</v>
      </c>
      <c r="E13" s="136" t="s">
        <v>11</v>
      </c>
      <c r="F13" s="135"/>
      <c r="G13" s="136">
        <v>1</v>
      </c>
      <c r="H13" s="137">
        <v>55000</v>
      </c>
      <c r="I13" s="137">
        <f t="shared" si="0"/>
        <v>130000</v>
      </c>
      <c r="J13" s="135"/>
    </row>
    <row r="14" spans="1:10" s="135" customFormat="1" x14ac:dyDescent="0.25">
      <c r="A14" t="s">
        <v>132</v>
      </c>
      <c r="B14" s="168" t="s">
        <v>98</v>
      </c>
      <c r="C14" s="1" t="s">
        <v>94</v>
      </c>
      <c r="D14" s="1"/>
      <c r="E14" s="1" t="s">
        <v>11</v>
      </c>
      <c r="F14"/>
      <c r="G14" s="1">
        <v>0</v>
      </c>
      <c r="H14" s="1">
        <v>79000</v>
      </c>
      <c r="I14" s="98">
        <f t="shared" si="0"/>
        <v>178000</v>
      </c>
      <c r="J14"/>
    </row>
    <row r="15" spans="1:10" s="135" customFormat="1" x14ac:dyDescent="0.25">
      <c r="A15" t="s">
        <v>84</v>
      </c>
      <c r="B15" s="168" t="s">
        <v>102</v>
      </c>
      <c r="C15" s="1" t="s">
        <v>103</v>
      </c>
      <c r="D15" s="1"/>
      <c r="E15" s="1" t="s">
        <v>11</v>
      </c>
      <c r="F15"/>
      <c r="G15" s="1">
        <v>0</v>
      </c>
      <c r="H15" s="1">
        <v>61000</v>
      </c>
      <c r="I15" s="98">
        <f t="shared" si="0"/>
        <v>142000</v>
      </c>
      <c r="J15"/>
    </row>
    <row r="16" spans="1:10" s="135" customFormat="1" x14ac:dyDescent="0.25">
      <c r="A16" t="s">
        <v>84</v>
      </c>
      <c r="B16" s="168" t="s">
        <v>104</v>
      </c>
      <c r="C16" s="1" t="s">
        <v>105</v>
      </c>
      <c r="D16" s="1"/>
      <c r="E16" s="1" t="s">
        <v>11</v>
      </c>
      <c r="F16" s="1" t="s">
        <v>106</v>
      </c>
      <c r="G16" s="1">
        <v>0</v>
      </c>
      <c r="H16" s="1">
        <v>51000</v>
      </c>
      <c r="I16" s="1">
        <f t="shared" si="0"/>
        <v>122000</v>
      </c>
      <c r="J16"/>
    </row>
    <row r="17" spans="1:10" x14ac:dyDescent="0.25">
      <c r="A17" t="s">
        <v>84</v>
      </c>
      <c r="B17" s="168" t="s">
        <v>527</v>
      </c>
      <c r="C17" s="1" t="s">
        <v>528</v>
      </c>
      <c r="E17" s="1" t="s">
        <v>11</v>
      </c>
      <c r="H17" s="1">
        <v>60000</v>
      </c>
      <c r="I17" s="98">
        <f t="shared" si="0"/>
        <v>140000</v>
      </c>
    </row>
    <row r="18" spans="1:10" s="135" customFormat="1" x14ac:dyDescent="0.25">
      <c r="A18" s="135" t="s">
        <v>84</v>
      </c>
      <c r="B18" s="166" t="s">
        <v>525</v>
      </c>
      <c r="C18" s="136" t="s">
        <v>526</v>
      </c>
      <c r="D18" s="136" t="s">
        <v>178</v>
      </c>
      <c r="E18" s="136" t="s">
        <v>11</v>
      </c>
      <c r="G18" s="136">
        <v>1</v>
      </c>
      <c r="H18" s="136">
        <v>74000</v>
      </c>
      <c r="I18" s="137">
        <f t="shared" si="0"/>
        <v>168000</v>
      </c>
    </row>
    <row r="19" spans="1:10" x14ac:dyDescent="0.25">
      <c r="A19" s="135" t="s">
        <v>84</v>
      </c>
      <c r="B19" s="166" t="s">
        <v>529</v>
      </c>
      <c r="C19" s="136" t="s">
        <v>530</v>
      </c>
      <c r="D19" s="136" t="s">
        <v>1948</v>
      </c>
      <c r="E19" s="136" t="s">
        <v>11</v>
      </c>
      <c r="F19" s="136" t="s">
        <v>531</v>
      </c>
      <c r="G19" s="136">
        <v>1</v>
      </c>
      <c r="H19" s="136">
        <v>45000</v>
      </c>
      <c r="I19" s="136">
        <f t="shared" si="0"/>
        <v>110000</v>
      </c>
      <c r="J19" s="135"/>
    </row>
    <row r="20" spans="1:10" x14ac:dyDescent="0.25">
      <c r="A20" t="s">
        <v>84</v>
      </c>
      <c r="B20" s="168" t="s">
        <v>532</v>
      </c>
      <c r="C20" s="1">
        <v>1998</v>
      </c>
      <c r="E20" s="1" t="s">
        <v>11</v>
      </c>
      <c r="G20" s="1">
        <v>0</v>
      </c>
      <c r="H20" s="98">
        <v>55000</v>
      </c>
      <c r="I20" s="98">
        <f t="shared" si="0"/>
        <v>130000</v>
      </c>
    </row>
    <row r="21" spans="1:10" x14ac:dyDescent="0.25">
      <c r="A21" t="s">
        <v>84</v>
      </c>
      <c r="B21" s="168" t="s">
        <v>533</v>
      </c>
      <c r="C21" s="1" t="s">
        <v>534</v>
      </c>
      <c r="E21" s="1" t="s">
        <v>11</v>
      </c>
      <c r="G21" s="1">
        <v>0</v>
      </c>
      <c r="H21" s="1">
        <v>62000</v>
      </c>
      <c r="I21" s="98">
        <f t="shared" si="0"/>
        <v>144000</v>
      </c>
    </row>
    <row r="22" spans="1:10" x14ac:dyDescent="0.25">
      <c r="A22" t="s">
        <v>84</v>
      </c>
      <c r="B22" s="168" t="s">
        <v>608</v>
      </c>
      <c r="C22" s="1" t="s">
        <v>86</v>
      </c>
      <c r="E22" s="1" t="s">
        <v>11</v>
      </c>
      <c r="F22" s="1"/>
      <c r="H22" s="1">
        <v>68000</v>
      </c>
      <c r="I22" s="1">
        <f t="shared" si="0"/>
        <v>156000</v>
      </c>
    </row>
    <row r="23" spans="1:10" x14ac:dyDescent="0.25">
      <c r="A23" s="135" t="s">
        <v>84</v>
      </c>
      <c r="B23" s="166" t="s">
        <v>609</v>
      </c>
      <c r="C23" s="136" t="s">
        <v>19</v>
      </c>
      <c r="D23" s="136" t="s">
        <v>1948</v>
      </c>
      <c r="E23" s="136" t="s">
        <v>11</v>
      </c>
      <c r="F23" s="135" t="s">
        <v>101</v>
      </c>
      <c r="G23" s="136">
        <v>1</v>
      </c>
      <c r="H23" s="137">
        <v>104000</v>
      </c>
      <c r="I23" s="137">
        <f t="shared" si="0"/>
        <v>228000</v>
      </c>
      <c r="J23" s="135"/>
    </row>
    <row r="24" spans="1:10" x14ac:dyDescent="0.25">
      <c r="A24" s="135" t="s">
        <v>552</v>
      </c>
      <c r="B24" s="166" t="s">
        <v>2030</v>
      </c>
      <c r="C24" s="136" t="s">
        <v>19</v>
      </c>
      <c r="D24" s="136" t="s">
        <v>391</v>
      </c>
      <c r="E24" s="136" t="s">
        <v>11</v>
      </c>
      <c r="F24" s="135" t="s">
        <v>1619</v>
      </c>
      <c r="G24" s="136">
        <v>1</v>
      </c>
      <c r="H24" s="137">
        <v>35000</v>
      </c>
      <c r="I24" s="137">
        <f t="shared" si="0"/>
        <v>90000</v>
      </c>
      <c r="J24" s="135"/>
    </row>
    <row r="25" spans="1:10" x14ac:dyDescent="0.25">
      <c r="A25" t="s">
        <v>560</v>
      </c>
      <c r="B25" s="168" t="s">
        <v>561</v>
      </c>
      <c r="C25" s="1" t="s">
        <v>344</v>
      </c>
      <c r="D25" s="1" t="s">
        <v>1905</v>
      </c>
      <c r="E25" s="1" t="s">
        <v>11</v>
      </c>
      <c r="G25" s="1">
        <v>1</v>
      </c>
      <c r="H25" s="98">
        <v>35000</v>
      </c>
      <c r="I25" s="98">
        <f t="shared" si="0"/>
        <v>90000</v>
      </c>
    </row>
    <row r="26" spans="1:10" s="135" customFormat="1" x14ac:dyDescent="0.25">
      <c r="A26" s="135" t="s">
        <v>202</v>
      </c>
      <c r="B26" s="166" t="s">
        <v>203</v>
      </c>
      <c r="C26" s="136"/>
      <c r="D26" s="136" t="s">
        <v>2048</v>
      </c>
      <c r="E26" s="136" t="s">
        <v>11</v>
      </c>
      <c r="F26" s="135" t="s">
        <v>1897</v>
      </c>
      <c r="G26" s="136">
        <v>8</v>
      </c>
      <c r="H26" s="137">
        <v>50000</v>
      </c>
      <c r="I26" s="137">
        <f t="shared" si="0"/>
        <v>120000</v>
      </c>
    </row>
    <row r="27" spans="1:10" x14ac:dyDescent="0.25">
      <c r="A27" t="s">
        <v>202</v>
      </c>
      <c r="B27" s="168" t="s">
        <v>636</v>
      </c>
      <c r="C27" s="1">
        <v>2007</v>
      </c>
      <c r="E27" s="1" t="s">
        <v>11</v>
      </c>
      <c r="F27" s="1" t="s">
        <v>637</v>
      </c>
      <c r="G27" s="1">
        <v>0</v>
      </c>
      <c r="H27" s="1">
        <v>94248</v>
      </c>
      <c r="I27" s="1">
        <f t="shared" si="0"/>
        <v>208496</v>
      </c>
    </row>
    <row r="28" spans="1:10" s="135" customFormat="1" x14ac:dyDescent="0.25">
      <c r="A28" t="s">
        <v>35</v>
      </c>
      <c r="B28" s="168">
        <v>345</v>
      </c>
      <c r="C28" s="1"/>
      <c r="D28" s="1">
        <v>128</v>
      </c>
      <c r="E28" s="1" t="s">
        <v>11</v>
      </c>
      <c r="F28"/>
      <c r="G28" s="1"/>
      <c r="H28" s="98">
        <v>40000</v>
      </c>
      <c r="I28" s="98">
        <f t="shared" si="0"/>
        <v>100000</v>
      </c>
      <c r="J28"/>
    </row>
    <row r="29" spans="1:10" x14ac:dyDescent="0.25">
      <c r="A29" t="s">
        <v>35</v>
      </c>
      <c r="B29" s="168" t="s">
        <v>111</v>
      </c>
      <c r="D29" s="1">
        <v>114</v>
      </c>
      <c r="E29" s="1" t="s">
        <v>11</v>
      </c>
      <c r="H29" s="98"/>
      <c r="I29" s="98"/>
    </row>
    <row r="30" spans="1:10" x14ac:dyDescent="0.25">
      <c r="A30" t="s">
        <v>142</v>
      </c>
      <c r="B30" s="168" t="s">
        <v>143</v>
      </c>
      <c r="C30" s="1" t="s">
        <v>119</v>
      </c>
      <c r="E30" s="1" t="s">
        <v>11</v>
      </c>
      <c r="G30" s="1">
        <v>0</v>
      </c>
      <c r="H30" s="98">
        <v>60000</v>
      </c>
      <c r="I30" s="98">
        <f t="shared" ref="I30:I39" si="1">H30*2+20000</f>
        <v>140000</v>
      </c>
    </row>
    <row r="31" spans="1:10" x14ac:dyDescent="0.25">
      <c r="A31" t="s">
        <v>142</v>
      </c>
      <c r="B31" s="168" t="s">
        <v>415</v>
      </c>
      <c r="C31" s="1" t="s">
        <v>94</v>
      </c>
      <c r="E31" s="1" t="s">
        <v>11</v>
      </c>
      <c r="H31" s="1">
        <v>43000</v>
      </c>
      <c r="I31" s="1">
        <f t="shared" si="1"/>
        <v>106000</v>
      </c>
    </row>
    <row r="32" spans="1:10" x14ac:dyDescent="0.25">
      <c r="A32" s="135" t="s">
        <v>142</v>
      </c>
      <c r="B32" s="166" t="s">
        <v>454</v>
      </c>
      <c r="C32" s="136" t="s">
        <v>54</v>
      </c>
      <c r="D32" s="136" t="s">
        <v>133</v>
      </c>
      <c r="E32" s="136" t="s">
        <v>11</v>
      </c>
      <c r="F32" s="135"/>
      <c r="G32" s="136">
        <v>1</v>
      </c>
      <c r="H32" s="136">
        <v>60000</v>
      </c>
      <c r="I32" s="137">
        <f t="shared" si="1"/>
        <v>140000</v>
      </c>
      <c r="J32" s="135"/>
    </row>
    <row r="33" spans="1:10" x14ac:dyDescent="0.25">
      <c r="A33" t="s">
        <v>142</v>
      </c>
      <c r="B33" s="168" t="s">
        <v>458</v>
      </c>
      <c r="C33" s="1" t="s">
        <v>197</v>
      </c>
      <c r="E33" s="1" t="s">
        <v>11</v>
      </c>
      <c r="G33" s="1">
        <v>0</v>
      </c>
      <c r="H33" s="98">
        <v>48000</v>
      </c>
      <c r="I33" s="98">
        <f t="shared" si="1"/>
        <v>116000</v>
      </c>
    </row>
    <row r="34" spans="1:10" x14ac:dyDescent="0.25">
      <c r="A34" t="s">
        <v>142</v>
      </c>
      <c r="B34" s="168" t="s">
        <v>464</v>
      </c>
      <c r="C34" s="1">
        <v>2016</v>
      </c>
      <c r="E34" s="1" t="s">
        <v>11</v>
      </c>
      <c r="G34" s="1">
        <v>0</v>
      </c>
      <c r="H34" s="1">
        <v>57000</v>
      </c>
      <c r="I34" s="1">
        <f t="shared" si="1"/>
        <v>134000</v>
      </c>
    </row>
    <row r="35" spans="1:10" x14ac:dyDescent="0.25">
      <c r="A35" t="s">
        <v>452</v>
      </c>
      <c r="B35" s="168" t="s">
        <v>453</v>
      </c>
      <c r="C35" s="1" t="s">
        <v>103</v>
      </c>
      <c r="E35" s="1" t="s">
        <v>11</v>
      </c>
      <c r="G35" s="1">
        <v>0</v>
      </c>
      <c r="H35" s="98">
        <v>65000</v>
      </c>
      <c r="I35" s="98">
        <f t="shared" si="1"/>
        <v>150000</v>
      </c>
    </row>
    <row r="36" spans="1:10" s="135" customFormat="1" x14ac:dyDescent="0.25">
      <c r="A36" t="s">
        <v>211</v>
      </c>
      <c r="B36" s="168" t="s">
        <v>212</v>
      </c>
      <c r="C36" s="1" t="s">
        <v>119</v>
      </c>
      <c r="D36" s="1"/>
      <c r="E36" s="1" t="s">
        <v>11</v>
      </c>
      <c r="F36"/>
      <c r="G36" s="1">
        <v>0</v>
      </c>
      <c r="H36" s="1">
        <v>74000</v>
      </c>
      <c r="I36" s="1">
        <f t="shared" si="1"/>
        <v>168000</v>
      </c>
      <c r="J36"/>
    </row>
    <row r="37" spans="1:10" x14ac:dyDescent="0.25">
      <c r="A37" t="s">
        <v>211</v>
      </c>
      <c r="B37" s="168" t="s">
        <v>213</v>
      </c>
      <c r="C37" s="1" t="s">
        <v>54</v>
      </c>
      <c r="E37" s="1" t="s">
        <v>11</v>
      </c>
      <c r="G37" s="1">
        <v>0</v>
      </c>
      <c r="H37" s="1">
        <v>72000</v>
      </c>
      <c r="I37" s="1">
        <f t="shared" si="1"/>
        <v>164000</v>
      </c>
    </row>
    <row r="38" spans="1:10" x14ac:dyDescent="0.25">
      <c r="A38" t="s">
        <v>211</v>
      </c>
      <c r="B38" s="168" t="s">
        <v>612</v>
      </c>
      <c r="C38" s="1" t="s">
        <v>17</v>
      </c>
      <c r="E38" s="1" t="s">
        <v>13</v>
      </c>
      <c r="H38" s="1">
        <v>38000</v>
      </c>
      <c r="I38" s="1">
        <f t="shared" si="1"/>
        <v>96000</v>
      </c>
    </row>
    <row r="39" spans="1:10" x14ac:dyDescent="0.25">
      <c r="A39" t="s">
        <v>128</v>
      </c>
      <c r="B39" s="168" t="s">
        <v>129</v>
      </c>
      <c r="C39" s="1" t="s">
        <v>130</v>
      </c>
      <c r="D39" s="1" t="s">
        <v>573</v>
      </c>
      <c r="E39" s="1" t="s">
        <v>11</v>
      </c>
      <c r="G39" s="1">
        <v>1</v>
      </c>
      <c r="H39" s="98">
        <v>35000</v>
      </c>
      <c r="I39" s="98">
        <f t="shared" si="1"/>
        <v>90000</v>
      </c>
    </row>
    <row r="40" spans="1:10" x14ac:dyDescent="0.25">
      <c r="A40" t="s">
        <v>245</v>
      </c>
      <c r="B40" s="168" t="s">
        <v>246</v>
      </c>
      <c r="C40" s="1" t="s">
        <v>40</v>
      </c>
      <c r="D40" s="1" t="s">
        <v>1968</v>
      </c>
      <c r="E40" s="1" t="s">
        <v>11</v>
      </c>
      <c r="F40" t="s">
        <v>1590</v>
      </c>
      <c r="G40" s="1">
        <v>0</v>
      </c>
      <c r="H40" s="98">
        <v>46000</v>
      </c>
      <c r="I40" s="98">
        <v>110000</v>
      </c>
    </row>
    <row r="41" spans="1:10" x14ac:dyDescent="0.25">
      <c r="A41" s="135" t="s">
        <v>245</v>
      </c>
      <c r="B41" s="166" t="s">
        <v>246</v>
      </c>
      <c r="C41" s="136" t="s">
        <v>248</v>
      </c>
      <c r="D41" s="136" t="s">
        <v>628</v>
      </c>
      <c r="E41" s="136" t="s">
        <v>11</v>
      </c>
      <c r="F41" s="135" t="s">
        <v>537</v>
      </c>
      <c r="G41" s="136">
        <v>0</v>
      </c>
      <c r="H41" s="137">
        <v>41000</v>
      </c>
      <c r="I41" s="137">
        <f>H41*2+20000</f>
        <v>102000</v>
      </c>
      <c r="J41" s="135"/>
    </row>
    <row r="42" spans="1:10" x14ac:dyDescent="0.25">
      <c r="A42" t="s">
        <v>245</v>
      </c>
      <c r="B42" s="168" t="s">
        <v>246</v>
      </c>
      <c r="C42" s="1" t="s">
        <v>249</v>
      </c>
      <c r="E42" s="1" t="s">
        <v>13</v>
      </c>
      <c r="F42" s="1" t="s">
        <v>250</v>
      </c>
      <c r="H42" s="1">
        <v>34000</v>
      </c>
      <c r="I42" s="1">
        <f>H42*2+20000</f>
        <v>88000</v>
      </c>
    </row>
    <row r="43" spans="1:10" x14ac:dyDescent="0.25">
      <c r="A43" t="s">
        <v>245</v>
      </c>
      <c r="B43" s="168" t="s">
        <v>246</v>
      </c>
      <c r="C43" s="1" t="s">
        <v>251</v>
      </c>
      <c r="E43" s="1" t="s">
        <v>13</v>
      </c>
      <c r="F43" s="1" t="s">
        <v>24</v>
      </c>
      <c r="H43" s="98">
        <v>30000</v>
      </c>
      <c r="I43" s="98">
        <v>90000</v>
      </c>
    </row>
    <row r="44" spans="1:10" x14ac:dyDescent="0.25">
      <c r="A44" t="s">
        <v>245</v>
      </c>
      <c r="B44" s="168" t="s">
        <v>275</v>
      </c>
      <c r="C44" s="1" t="s">
        <v>276</v>
      </c>
      <c r="D44" s="1" t="s">
        <v>277</v>
      </c>
      <c r="E44" s="1" t="s">
        <v>11</v>
      </c>
      <c r="G44" s="1">
        <v>6</v>
      </c>
      <c r="H44" s="98">
        <v>35000</v>
      </c>
      <c r="I44" s="98">
        <f t="shared" ref="I44:I52" si="2">H44*2+20000</f>
        <v>90000</v>
      </c>
    </row>
    <row r="45" spans="1:10" x14ac:dyDescent="0.25">
      <c r="A45" s="135" t="s">
        <v>245</v>
      </c>
      <c r="B45" s="166" t="s">
        <v>278</v>
      </c>
      <c r="C45" s="136"/>
      <c r="D45" s="136" t="s">
        <v>1877</v>
      </c>
      <c r="E45" s="136" t="s">
        <v>13</v>
      </c>
      <c r="F45" s="135"/>
      <c r="G45" s="136">
        <v>1</v>
      </c>
      <c r="H45" s="136">
        <v>30000</v>
      </c>
      <c r="I45" s="137">
        <f t="shared" si="2"/>
        <v>80000</v>
      </c>
      <c r="J45" s="135"/>
    </row>
    <row r="46" spans="1:10" x14ac:dyDescent="0.25">
      <c r="A46" t="s">
        <v>245</v>
      </c>
      <c r="B46" s="168" t="s">
        <v>317</v>
      </c>
      <c r="C46" s="1" t="s">
        <v>318</v>
      </c>
      <c r="G46" s="1">
        <v>0</v>
      </c>
      <c r="H46" s="1">
        <v>84000</v>
      </c>
      <c r="I46" s="1">
        <f t="shared" si="2"/>
        <v>188000</v>
      </c>
    </row>
    <row r="47" spans="1:10" x14ac:dyDescent="0.25">
      <c r="A47" t="s">
        <v>245</v>
      </c>
      <c r="B47" s="168" t="s">
        <v>325</v>
      </c>
      <c r="C47" s="1" t="s">
        <v>328</v>
      </c>
      <c r="D47" s="1" t="s">
        <v>329</v>
      </c>
      <c r="E47" s="1" t="s">
        <v>11</v>
      </c>
      <c r="G47" s="1">
        <v>0</v>
      </c>
      <c r="H47" s="1">
        <v>72000</v>
      </c>
      <c r="I47" s="98">
        <f t="shared" si="2"/>
        <v>164000</v>
      </c>
    </row>
    <row r="48" spans="1:10" x14ac:dyDescent="0.25">
      <c r="A48" t="s">
        <v>245</v>
      </c>
      <c r="B48" s="168" t="s">
        <v>330</v>
      </c>
      <c r="C48" s="1" t="s">
        <v>326</v>
      </c>
      <c r="D48" s="1" t="s">
        <v>27</v>
      </c>
      <c r="E48" s="1" t="s">
        <v>11</v>
      </c>
      <c r="G48" s="1">
        <v>0</v>
      </c>
      <c r="H48" s="98">
        <v>52000</v>
      </c>
      <c r="I48" s="98">
        <f t="shared" si="2"/>
        <v>124000</v>
      </c>
    </row>
    <row r="49" spans="1:10" x14ac:dyDescent="0.25">
      <c r="A49" t="s">
        <v>245</v>
      </c>
      <c r="B49" s="168" t="s">
        <v>358</v>
      </c>
      <c r="C49" s="1" t="s">
        <v>255</v>
      </c>
      <c r="E49" s="1" t="s">
        <v>11</v>
      </c>
      <c r="G49" s="1">
        <v>0</v>
      </c>
      <c r="H49" s="1">
        <v>59500</v>
      </c>
      <c r="I49" s="1">
        <f t="shared" si="2"/>
        <v>139000</v>
      </c>
    </row>
    <row r="50" spans="1:10" x14ac:dyDescent="0.25">
      <c r="A50" t="s">
        <v>245</v>
      </c>
      <c r="B50" s="168" t="s">
        <v>384</v>
      </c>
      <c r="C50" s="1" t="s">
        <v>385</v>
      </c>
      <c r="E50" s="1" t="s">
        <v>11</v>
      </c>
      <c r="G50" s="1">
        <v>0</v>
      </c>
      <c r="H50" s="1">
        <v>35700</v>
      </c>
      <c r="I50" s="98">
        <f t="shared" si="2"/>
        <v>91400</v>
      </c>
    </row>
    <row r="51" spans="1:10" s="135" customFormat="1" x14ac:dyDescent="0.25">
      <c r="A51" t="s">
        <v>245</v>
      </c>
      <c r="B51" s="168" t="s">
        <v>416</v>
      </c>
      <c r="C51" s="1" t="s">
        <v>103</v>
      </c>
      <c r="D51" s="1"/>
      <c r="E51" s="1" t="s">
        <v>11</v>
      </c>
      <c r="F51"/>
      <c r="G51" s="1">
        <v>0</v>
      </c>
      <c r="H51" s="1">
        <v>61000</v>
      </c>
      <c r="I51" s="1">
        <f t="shared" si="2"/>
        <v>142000</v>
      </c>
      <c r="J51"/>
    </row>
    <row r="52" spans="1:10" x14ac:dyDescent="0.25">
      <c r="A52" s="135" t="s">
        <v>245</v>
      </c>
      <c r="B52" s="166" t="s">
        <v>417</v>
      </c>
      <c r="C52" s="136" t="s">
        <v>377</v>
      </c>
      <c r="D52" s="136" t="s">
        <v>2041</v>
      </c>
      <c r="E52" s="136" t="s">
        <v>11</v>
      </c>
      <c r="F52" s="136" t="s">
        <v>1638</v>
      </c>
      <c r="G52" s="136">
        <v>1</v>
      </c>
      <c r="H52" s="136">
        <v>55000</v>
      </c>
      <c r="I52" s="136">
        <f t="shared" si="2"/>
        <v>130000</v>
      </c>
      <c r="J52" s="135"/>
    </row>
    <row r="53" spans="1:10" x14ac:dyDescent="0.25">
      <c r="A53" t="s">
        <v>245</v>
      </c>
      <c r="B53" s="168" t="s">
        <v>421</v>
      </c>
      <c r="C53" s="1" t="s">
        <v>182</v>
      </c>
      <c r="D53" s="1" t="s">
        <v>1970</v>
      </c>
      <c r="E53" s="1" t="s">
        <v>11</v>
      </c>
      <c r="G53" s="1">
        <v>0</v>
      </c>
      <c r="H53" s="98">
        <v>40000</v>
      </c>
      <c r="I53" s="98">
        <v>100000</v>
      </c>
    </row>
    <row r="54" spans="1:10" x14ac:dyDescent="0.25">
      <c r="A54" s="135" t="s">
        <v>245</v>
      </c>
      <c r="B54" s="166" t="s">
        <v>434</v>
      </c>
      <c r="C54" s="136" t="s">
        <v>435</v>
      </c>
      <c r="D54" s="136" t="s">
        <v>131</v>
      </c>
      <c r="E54" s="136" t="s">
        <v>11</v>
      </c>
      <c r="F54" s="135"/>
      <c r="G54" s="136">
        <v>0</v>
      </c>
      <c r="H54" s="137">
        <v>39000</v>
      </c>
      <c r="I54" s="137">
        <f t="shared" ref="I54:I89" si="3">H54*2+20000</f>
        <v>98000</v>
      </c>
      <c r="J54" s="135"/>
    </row>
    <row r="55" spans="1:10" s="135" customFormat="1" x14ac:dyDescent="0.25">
      <c r="A55" s="135" t="s">
        <v>245</v>
      </c>
      <c r="B55" s="166" t="s">
        <v>436</v>
      </c>
      <c r="C55" s="136" t="s">
        <v>437</v>
      </c>
      <c r="D55" s="136" t="s">
        <v>2042</v>
      </c>
      <c r="E55" s="136" t="s">
        <v>11</v>
      </c>
      <c r="F55" s="135" t="s">
        <v>537</v>
      </c>
      <c r="G55" s="136">
        <v>2</v>
      </c>
      <c r="H55" s="137">
        <v>41000</v>
      </c>
      <c r="I55" s="137">
        <f t="shared" si="3"/>
        <v>102000</v>
      </c>
    </row>
    <row r="56" spans="1:10" s="135" customFormat="1" x14ac:dyDescent="0.25">
      <c r="A56" t="s">
        <v>245</v>
      </c>
      <c r="B56" s="168" t="s">
        <v>438</v>
      </c>
      <c r="C56" s="1" t="s">
        <v>103</v>
      </c>
      <c r="D56" s="1"/>
      <c r="E56" s="1" t="s">
        <v>11</v>
      </c>
      <c r="F56"/>
      <c r="G56" s="1">
        <v>0</v>
      </c>
      <c r="H56" s="1">
        <v>74000</v>
      </c>
      <c r="I56" s="98">
        <f t="shared" si="3"/>
        <v>168000</v>
      </c>
      <c r="J56"/>
    </row>
    <row r="57" spans="1:10" s="135" customFormat="1" x14ac:dyDescent="0.25">
      <c r="A57" t="s">
        <v>245</v>
      </c>
      <c r="B57" s="168" t="s">
        <v>439</v>
      </c>
      <c r="C57" s="1" t="s">
        <v>435</v>
      </c>
      <c r="D57" s="1" t="s">
        <v>1969</v>
      </c>
      <c r="E57" s="1" t="s">
        <v>11</v>
      </c>
      <c r="F57"/>
      <c r="G57" s="1">
        <v>1</v>
      </c>
      <c r="H57" s="98">
        <v>37000</v>
      </c>
      <c r="I57" s="98">
        <f t="shared" si="3"/>
        <v>94000</v>
      </c>
      <c r="J57"/>
    </row>
    <row r="58" spans="1:10" x14ac:dyDescent="0.25">
      <c r="A58" t="s">
        <v>245</v>
      </c>
      <c r="B58" s="168" t="s">
        <v>447</v>
      </c>
      <c r="C58" s="1" t="s">
        <v>448</v>
      </c>
      <c r="D58" s="1" t="s">
        <v>70</v>
      </c>
      <c r="E58" s="1" t="s">
        <v>11</v>
      </c>
      <c r="G58" s="1">
        <v>0</v>
      </c>
      <c r="H58" s="1">
        <v>49000</v>
      </c>
      <c r="I58" s="1">
        <f t="shared" si="3"/>
        <v>118000</v>
      </c>
    </row>
    <row r="59" spans="1:10" x14ac:dyDescent="0.25">
      <c r="A59" t="s">
        <v>245</v>
      </c>
      <c r="B59" s="168" t="s">
        <v>500</v>
      </c>
      <c r="C59" s="1" t="s">
        <v>1579</v>
      </c>
      <c r="D59" s="1" t="s">
        <v>1968</v>
      </c>
      <c r="E59" s="1" t="s">
        <v>11</v>
      </c>
      <c r="G59" s="1">
        <v>0</v>
      </c>
      <c r="H59" s="98">
        <v>48000</v>
      </c>
      <c r="I59" s="98">
        <f t="shared" si="3"/>
        <v>116000</v>
      </c>
    </row>
    <row r="60" spans="1:10" x14ac:dyDescent="0.25">
      <c r="A60" t="s">
        <v>245</v>
      </c>
      <c r="B60" s="168" t="s">
        <v>501</v>
      </c>
      <c r="C60" s="1" t="s">
        <v>1579</v>
      </c>
      <c r="D60" s="1" t="s">
        <v>997</v>
      </c>
      <c r="E60" s="1" t="s">
        <v>13</v>
      </c>
      <c r="G60" s="1">
        <v>1</v>
      </c>
      <c r="H60" s="1">
        <v>41000</v>
      </c>
      <c r="I60" s="98">
        <f t="shared" si="3"/>
        <v>102000</v>
      </c>
    </row>
    <row r="61" spans="1:10" x14ac:dyDescent="0.25">
      <c r="A61" t="s">
        <v>245</v>
      </c>
      <c r="B61" s="168" t="s">
        <v>505</v>
      </c>
      <c r="C61" s="1" t="s">
        <v>506</v>
      </c>
      <c r="D61" s="1" t="s">
        <v>1623</v>
      </c>
      <c r="E61" s="1" t="s">
        <v>11</v>
      </c>
      <c r="G61" s="1">
        <v>0</v>
      </c>
      <c r="H61" s="98">
        <v>37000</v>
      </c>
      <c r="I61" s="98">
        <f t="shared" si="3"/>
        <v>94000</v>
      </c>
    </row>
    <row r="62" spans="1:10" s="135" customFormat="1" x14ac:dyDescent="0.25">
      <c r="A62" t="s">
        <v>245</v>
      </c>
      <c r="B62" s="168" t="s">
        <v>556</v>
      </c>
      <c r="C62" s="1" t="s">
        <v>10</v>
      </c>
      <c r="D62" s="1"/>
      <c r="E62" s="1" t="s">
        <v>11</v>
      </c>
      <c r="F62"/>
      <c r="G62" s="1">
        <v>0</v>
      </c>
      <c r="H62" s="98">
        <v>48000</v>
      </c>
      <c r="I62" s="98">
        <f t="shared" si="3"/>
        <v>116000</v>
      </c>
      <c r="J62"/>
    </row>
    <row r="63" spans="1:10" x14ac:dyDescent="0.25">
      <c r="A63" s="135" t="s">
        <v>245</v>
      </c>
      <c r="B63" s="166" t="s">
        <v>558</v>
      </c>
      <c r="C63" s="136" t="s">
        <v>176</v>
      </c>
      <c r="D63" s="136" t="s">
        <v>1864</v>
      </c>
      <c r="E63" s="136" t="s">
        <v>13</v>
      </c>
      <c r="F63" s="136" t="s">
        <v>557</v>
      </c>
      <c r="G63" s="136">
        <v>1</v>
      </c>
      <c r="H63" s="137">
        <v>35000</v>
      </c>
      <c r="I63" s="137">
        <f t="shared" si="3"/>
        <v>90000</v>
      </c>
      <c r="J63" s="135"/>
    </row>
    <row r="64" spans="1:10" x14ac:dyDescent="0.25">
      <c r="A64" t="s">
        <v>245</v>
      </c>
      <c r="B64" s="168" t="s">
        <v>558</v>
      </c>
      <c r="C64" s="1" t="s">
        <v>54</v>
      </c>
      <c r="D64" s="1" t="s">
        <v>559</v>
      </c>
      <c r="E64" s="1" t="s">
        <v>11</v>
      </c>
      <c r="G64" s="1">
        <v>0</v>
      </c>
      <c r="H64" s="1">
        <v>73000</v>
      </c>
      <c r="I64" s="98">
        <f t="shared" si="3"/>
        <v>166000</v>
      </c>
    </row>
    <row r="65" spans="1:10" x14ac:dyDescent="0.25">
      <c r="A65" t="s">
        <v>245</v>
      </c>
      <c r="B65" s="168" t="s">
        <v>645</v>
      </c>
      <c r="C65" s="1" t="s">
        <v>646</v>
      </c>
      <c r="E65" s="1" t="s">
        <v>11</v>
      </c>
      <c r="G65" s="1">
        <v>0</v>
      </c>
      <c r="H65" s="1">
        <v>75000</v>
      </c>
      <c r="I65" s="2">
        <f t="shared" si="3"/>
        <v>170000</v>
      </c>
      <c r="J65" s="126"/>
    </row>
    <row r="66" spans="1:10" x14ac:dyDescent="0.25">
      <c r="A66" s="135" t="s">
        <v>216</v>
      </c>
      <c r="B66" s="166" t="s">
        <v>217</v>
      </c>
      <c r="C66" s="136" t="s">
        <v>218</v>
      </c>
      <c r="D66" s="136" t="s">
        <v>2060</v>
      </c>
      <c r="E66" s="136" t="s">
        <v>13</v>
      </c>
      <c r="F66" s="136" t="s">
        <v>220</v>
      </c>
      <c r="G66" s="136">
        <v>1</v>
      </c>
      <c r="H66" s="137">
        <v>30000</v>
      </c>
      <c r="I66" s="139">
        <f t="shared" si="3"/>
        <v>80000</v>
      </c>
      <c r="J66" s="135"/>
    </row>
    <row r="67" spans="1:10" x14ac:dyDescent="0.25">
      <c r="A67" t="s">
        <v>502</v>
      </c>
      <c r="B67" s="168" t="s">
        <v>503</v>
      </c>
      <c r="C67" s="1" t="s">
        <v>506</v>
      </c>
      <c r="D67" s="1" t="s">
        <v>997</v>
      </c>
      <c r="E67" s="1" t="s">
        <v>13</v>
      </c>
      <c r="F67" s="1"/>
      <c r="G67" s="1">
        <v>0</v>
      </c>
      <c r="H67" s="1">
        <v>30000</v>
      </c>
      <c r="I67" s="98">
        <f t="shared" si="3"/>
        <v>80000</v>
      </c>
    </row>
    <row r="68" spans="1:10" x14ac:dyDescent="0.25">
      <c r="A68" t="s">
        <v>508</v>
      </c>
      <c r="B68" s="168" t="s">
        <v>509</v>
      </c>
      <c r="C68" s="1" t="s">
        <v>28</v>
      </c>
      <c r="E68" s="1" t="s">
        <v>11</v>
      </c>
      <c r="H68" s="98">
        <v>35000</v>
      </c>
      <c r="I68" s="98">
        <f t="shared" si="3"/>
        <v>90000</v>
      </c>
    </row>
    <row r="69" spans="1:10" s="135" customFormat="1" x14ac:dyDescent="0.25">
      <c r="A69" t="s">
        <v>508</v>
      </c>
      <c r="B69" s="168" t="s">
        <v>510</v>
      </c>
      <c r="C69" s="1" t="s">
        <v>511</v>
      </c>
      <c r="D69" s="1"/>
      <c r="E69" s="1" t="s">
        <v>11</v>
      </c>
      <c r="F69"/>
      <c r="G69" s="1"/>
      <c r="H69" s="98">
        <v>35000</v>
      </c>
      <c r="I69" s="98">
        <f t="shared" si="3"/>
        <v>90000</v>
      </c>
      <c r="J69"/>
    </row>
    <row r="70" spans="1:10" x14ac:dyDescent="0.25">
      <c r="A70" t="s">
        <v>92</v>
      </c>
      <c r="B70" s="168" t="s">
        <v>93</v>
      </c>
      <c r="C70" s="1" t="s">
        <v>94</v>
      </c>
      <c r="E70" s="1" t="s">
        <v>11</v>
      </c>
      <c r="G70" s="1">
        <v>0</v>
      </c>
      <c r="H70" s="98">
        <v>70000</v>
      </c>
      <c r="I70" s="98">
        <f t="shared" si="3"/>
        <v>160000</v>
      </c>
    </row>
    <row r="71" spans="1:10" x14ac:dyDescent="0.25">
      <c r="A71" t="s">
        <v>258</v>
      </c>
      <c r="B71" s="168" t="s">
        <v>259</v>
      </c>
      <c r="C71" s="1" t="s">
        <v>169</v>
      </c>
      <c r="D71" s="1" t="s">
        <v>126</v>
      </c>
      <c r="E71" s="1" t="s">
        <v>11</v>
      </c>
      <c r="G71" s="1">
        <v>0</v>
      </c>
      <c r="H71" s="1">
        <v>68000</v>
      </c>
      <c r="I71" s="1">
        <f t="shared" si="3"/>
        <v>156000</v>
      </c>
    </row>
    <row r="72" spans="1:10" x14ac:dyDescent="0.25">
      <c r="A72" t="s">
        <v>258</v>
      </c>
      <c r="B72" s="168" t="s">
        <v>293</v>
      </c>
      <c r="E72" s="1" t="s">
        <v>11</v>
      </c>
      <c r="G72" s="1">
        <v>0</v>
      </c>
      <c r="H72" s="1">
        <v>38000</v>
      </c>
      <c r="I72" s="1">
        <f t="shared" si="3"/>
        <v>96000</v>
      </c>
    </row>
    <row r="73" spans="1:10" s="135" customFormat="1" x14ac:dyDescent="0.25">
      <c r="A73" t="s">
        <v>258</v>
      </c>
      <c r="B73" s="168" t="s">
        <v>297</v>
      </c>
      <c r="C73" s="1" t="s">
        <v>298</v>
      </c>
      <c r="D73" s="1">
        <v>121</v>
      </c>
      <c r="E73" s="1" t="s">
        <v>11</v>
      </c>
      <c r="F73"/>
      <c r="G73" s="1">
        <v>0</v>
      </c>
      <c r="H73" s="1">
        <v>49000</v>
      </c>
      <c r="I73" s="1">
        <f t="shared" si="3"/>
        <v>118000</v>
      </c>
      <c r="J73"/>
    </row>
    <row r="74" spans="1:10" s="135" customFormat="1" x14ac:dyDescent="0.25">
      <c r="A74" s="135" t="s">
        <v>258</v>
      </c>
      <c r="B74" s="166" t="s">
        <v>302</v>
      </c>
      <c r="C74" s="136" t="s">
        <v>303</v>
      </c>
      <c r="D74" s="136" t="s">
        <v>1861</v>
      </c>
      <c r="E74" s="136" t="s">
        <v>13</v>
      </c>
      <c r="G74" s="136">
        <v>1</v>
      </c>
      <c r="H74" s="137">
        <v>30000</v>
      </c>
      <c r="I74" s="137">
        <f t="shared" si="3"/>
        <v>80000</v>
      </c>
    </row>
    <row r="75" spans="1:10" s="135" customFormat="1" x14ac:dyDescent="0.25">
      <c r="A75" t="s">
        <v>258</v>
      </c>
      <c r="B75" s="168" t="s">
        <v>307</v>
      </c>
      <c r="C75" s="1" t="s">
        <v>249</v>
      </c>
      <c r="D75" s="1"/>
      <c r="E75" s="1" t="s">
        <v>11</v>
      </c>
      <c r="F75" s="1"/>
      <c r="G75" s="1"/>
      <c r="H75" s="1">
        <v>65000</v>
      </c>
      <c r="I75" s="1">
        <f t="shared" si="3"/>
        <v>150000</v>
      </c>
      <c r="J75"/>
    </row>
    <row r="76" spans="1:10" s="135" customFormat="1" x14ac:dyDescent="0.25">
      <c r="A76" s="135" t="s">
        <v>258</v>
      </c>
      <c r="B76" s="166" t="s">
        <v>308</v>
      </c>
      <c r="C76" s="136"/>
      <c r="D76" s="136" t="s">
        <v>1865</v>
      </c>
      <c r="E76" s="136" t="s">
        <v>13</v>
      </c>
      <c r="F76" s="135" t="s">
        <v>309</v>
      </c>
      <c r="G76" s="136">
        <v>1</v>
      </c>
      <c r="H76" s="136">
        <v>30000</v>
      </c>
      <c r="I76" s="137">
        <f t="shared" si="3"/>
        <v>80000</v>
      </c>
    </row>
    <row r="77" spans="1:10" s="135" customFormat="1" x14ac:dyDescent="0.25">
      <c r="A77" t="s">
        <v>258</v>
      </c>
      <c r="B77" s="168" t="s">
        <v>308</v>
      </c>
      <c r="C77" s="1" t="s">
        <v>310</v>
      </c>
      <c r="D77" s="1" t="s">
        <v>227</v>
      </c>
      <c r="E77" s="1" t="s">
        <v>11</v>
      </c>
      <c r="F77"/>
      <c r="G77" s="1">
        <v>0</v>
      </c>
      <c r="H77" s="1">
        <v>54000</v>
      </c>
      <c r="I77" s="1">
        <f t="shared" si="3"/>
        <v>128000</v>
      </c>
      <c r="J77"/>
    </row>
    <row r="78" spans="1:10" x14ac:dyDescent="0.25">
      <c r="A78" t="s">
        <v>258</v>
      </c>
      <c r="B78" s="168" t="s">
        <v>512</v>
      </c>
      <c r="C78" s="1" t="s">
        <v>513</v>
      </c>
      <c r="E78" s="1" t="s">
        <v>11</v>
      </c>
      <c r="G78" s="1">
        <v>0</v>
      </c>
      <c r="H78" s="1">
        <v>50000</v>
      </c>
      <c r="I78" s="1">
        <f t="shared" si="3"/>
        <v>120000</v>
      </c>
    </row>
    <row r="79" spans="1:10" s="135" customFormat="1" x14ac:dyDescent="0.25">
      <c r="A79" t="s">
        <v>258</v>
      </c>
      <c r="B79" s="168" t="s">
        <v>514</v>
      </c>
      <c r="C79" s="1" t="s">
        <v>19</v>
      </c>
      <c r="D79" s="1"/>
      <c r="E79" s="1" t="s">
        <v>11</v>
      </c>
      <c r="F79"/>
      <c r="G79" s="1">
        <v>0</v>
      </c>
      <c r="H79" s="1">
        <v>95000</v>
      </c>
      <c r="I79" s="98">
        <f t="shared" si="3"/>
        <v>210000</v>
      </c>
      <c r="J79"/>
    </row>
    <row r="80" spans="1:10" x14ac:dyDescent="0.25">
      <c r="A80" s="135" t="s">
        <v>260</v>
      </c>
      <c r="B80" s="166" t="s">
        <v>261</v>
      </c>
      <c r="C80" s="136" t="s">
        <v>262</v>
      </c>
      <c r="D80" s="136" t="s">
        <v>2060</v>
      </c>
      <c r="E80" s="136" t="s">
        <v>13</v>
      </c>
      <c r="F80" s="136" t="s">
        <v>263</v>
      </c>
      <c r="G80" s="136">
        <v>1</v>
      </c>
      <c r="H80" s="137">
        <v>20000</v>
      </c>
      <c r="I80" s="137">
        <f t="shared" si="3"/>
        <v>60000</v>
      </c>
      <c r="J80" s="135"/>
    </row>
    <row r="81" spans="1:10" s="135" customFormat="1" x14ac:dyDescent="0.25">
      <c r="A81" t="s">
        <v>260</v>
      </c>
      <c r="B81" s="168" t="s">
        <v>299</v>
      </c>
      <c r="C81" s="1"/>
      <c r="D81" s="1">
        <v>121</v>
      </c>
      <c r="E81" s="1" t="s">
        <v>11</v>
      </c>
      <c r="F81"/>
      <c r="G81" s="1">
        <v>0</v>
      </c>
      <c r="H81" s="98">
        <v>35000</v>
      </c>
      <c r="I81" s="98">
        <f t="shared" si="3"/>
        <v>90000</v>
      </c>
      <c r="J81"/>
    </row>
    <row r="82" spans="1:10" s="135" customFormat="1" x14ac:dyDescent="0.25">
      <c r="A82" s="135" t="s">
        <v>260</v>
      </c>
      <c r="B82" s="166" t="s">
        <v>304</v>
      </c>
      <c r="C82" s="136" t="s">
        <v>305</v>
      </c>
      <c r="D82" s="136" t="s">
        <v>442</v>
      </c>
      <c r="E82" s="136" t="s">
        <v>11</v>
      </c>
      <c r="F82" s="136" t="s">
        <v>306</v>
      </c>
      <c r="G82" s="136">
        <v>1</v>
      </c>
      <c r="H82" s="136">
        <v>71000</v>
      </c>
      <c r="I82" s="136">
        <f t="shared" si="3"/>
        <v>162000</v>
      </c>
    </row>
    <row r="83" spans="1:10" s="135" customFormat="1" x14ac:dyDescent="0.25">
      <c r="A83" s="135" t="s">
        <v>264</v>
      </c>
      <c r="B83" s="166" t="s">
        <v>265</v>
      </c>
      <c r="C83" s="136" t="s">
        <v>266</v>
      </c>
      <c r="D83" s="136" t="s">
        <v>1856</v>
      </c>
      <c r="E83" s="136" t="s">
        <v>11</v>
      </c>
      <c r="G83" s="136">
        <v>0</v>
      </c>
      <c r="H83" s="137">
        <v>47000</v>
      </c>
      <c r="I83" s="137">
        <f t="shared" si="3"/>
        <v>114000</v>
      </c>
    </row>
    <row r="84" spans="1:10" x14ac:dyDescent="0.25">
      <c r="A84" s="135" t="s">
        <v>264</v>
      </c>
      <c r="B84" s="166" t="s">
        <v>265</v>
      </c>
      <c r="C84" s="136" t="s">
        <v>268</v>
      </c>
      <c r="D84" s="136" t="s">
        <v>711</v>
      </c>
      <c r="E84" s="136" t="s">
        <v>11</v>
      </c>
      <c r="F84" s="135"/>
      <c r="G84" s="136">
        <v>1</v>
      </c>
      <c r="H84" s="137">
        <v>38000</v>
      </c>
      <c r="I84" s="137">
        <f t="shared" si="3"/>
        <v>96000</v>
      </c>
      <c r="J84" s="135"/>
    </row>
    <row r="85" spans="1:10" x14ac:dyDescent="0.25">
      <c r="A85" t="s">
        <v>291</v>
      </c>
      <c r="B85" s="168" t="s">
        <v>292</v>
      </c>
      <c r="C85" s="1" t="s">
        <v>10</v>
      </c>
      <c r="E85" s="1" t="s">
        <v>11</v>
      </c>
      <c r="G85" s="1">
        <v>0</v>
      </c>
      <c r="H85" s="98">
        <v>44000</v>
      </c>
      <c r="I85" s="98">
        <f t="shared" si="3"/>
        <v>108000</v>
      </c>
    </row>
    <row r="86" spans="1:10" x14ac:dyDescent="0.25">
      <c r="A86" s="135" t="s">
        <v>483</v>
      </c>
      <c r="B86" s="166" t="s">
        <v>484</v>
      </c>
      <c r="C86" s="136" t="s">
        <v>485</v>
      </c>
      <c r="D86" s="136" t="s">
        <v>1859</v>
      </c>
      <c r="E86" s="136" t="s">
        <v>13</v>
      </c>
      <c r="F86" s="135"/>
      <c r="G86" s="136">
        <v>1</v>
      </c>
      <c r="H86" s="137">
        <v>20000</v>
      </c>
      <c r="I86" s="137">
        <f t="shared" si="3"/>
        <v>60000</v>
      </c>
      <c r="J86" s="135"/>
    </row>
    <row r="87" spans="1:10" x14ac:dyDescent="0.25">
      <c r="A87" s="135" t="s">
        <v>483</v>
      </c>
      <c r="B87" s="166" t="s">
        <v>576</v>
      </c>
      <c r="C87" s="136" t="s">
        <v>485</v>
      </c>
      <c r="D87" s="136" t="s">
        <v>315</v>
      </c>
      <c r="E87" s="136" t="s">
        <v>11</v>
      </c>
      <c r="F87" s="135"/>
      <c r="G87" s="136">
        <v>1</v>
      </c>
      <c r="H87" s="136">
        <v>37000</v>
      </c>
      <c r="I87" s="137">
        <f t="shared" si="3"/>
        <v>94000</v>
      </c>
      <c r="J87" s="135"/>
    </row>
    <row r="88" spans="1:10" x14ac:dyDescent="0.25">
      <c r="A88" s="135" t="s">
        <v>483</v>
      </c>
      <c r="B88" s="166" t="s">
        <v>576</v>
      </c>
      <c r="C88" s="136" t="s">
        <v>577</v>
      </c>
      <c r="D88" s="136" t="s">
        <v>1884</v>
      </c>
      <c r="E88" s="136" t="s">
        <v>13</v>
      </c>
      <c r="F88" s="135"/>
      <c r="G88" s="136">
        <v>1</v>
      </c>
      <c r="H88" s="137">
        <v>25000</v>
      </c>
      <c r="I88" s="137">
        <f t="shared" si="3"/>
        <v>70000</v>
      </c>
      <c r="J88" s="135"/>
    </row>
    <row r="89" spans="1:10" x14ac:dyDescent="0.25">
      <c r="A89" t="s">
        <v>370</v>
      </c>
      <c r="B89" s="168" t="s">
        <v>371</v>
      </c>
      <c r="C89" s="1" t="s">
        <v>26</v>
      </c>
      <c r="D89" s="1" t="s">
        <v>227</v>
      </c>
      <c r="E89" s="1" t="s">
        <v>11</v>
      </c>
      <c r="H89" s="1">
        <v>107000</v>
      </c>
      <c r="I89" s="98">
        <f t="shared" si="3"/>
        <v>234000</v>
      </c>
    </row>
    <row r="90" spans="1:10" x14ac:dyDescent="0.25">
      <c r="A90" t="s">
        <v>370</v>
      </c>
      <c r="B90" s="168" t="s">
        <v>475</v>
      </c>
    </row>
    <row r="91" spans="1:10" s="132" customFormat="1" x14ac:dyDescent="0.25">
      <c r="A91" s="135" t="s">
        <v>62</v>
      </c>
      <c r="B91" s="166" t="s">
        <v>63</v>
      </c>
      <c r="C91" s="136" t="s">
        <v>64</v>
      </c>
      <c r="D91" s="136" t="s">
        <v>27</v>
      </c>
      <c r="E91" s="136" t="s">
        <v>11</v>
      </c>
      <c r="F91" s="136" t="s">
        <v>537</v>
      </c>
      <c r="G91" s="136">
        <v>2</v>
      </c>
      <c r="H91" s="136">
        <v>47000</v>
      </c>
      <c r="I91" s="137">
        <f t="shared" ref="I91:I99" si="4">H91*2+20000</f>
        <v>114000</v>
      </c>
      <c r="J91" s="135"/>
    </row>
    <row r="92" spans="1:10" x14ac:dyDescent="0.25">
      <c r="A92" t="s">
        <v>62</v>
      </c>
      <c r="B92" s="168" t="s">
        <v>205</v>
      </c>
      <c r="C92" s="1" t="s">
        <v>206</v>
      </c>
      <c r="D92" s="1" t="s">
        <v>207</v>
      </c>
      <c r="E92" s="1" t="s">
        <v>11</v>
      </c>
      <c r="G92" s="1">
        <v>0</v>
      </c>
      <c r="H92" s="1">
        <v>56049</v>
      </c>
      <c r="I92" s="98">
        <f t="shared" si="4"/>
        <v>132098</v>
      </c>
    </row>
    <row r="93" spans="1:10" x14ac:dyDescent="0.25">
      <c r="A93" t="s">
        <v>62</v>
      </c>
      <c r="B93" s="168" t="s">
        <v>372</v>
      </c>
      <c r="C93" s="1" t="s">
        <v>373</v>
      </c>
      <c r="E93" s="1" t="s">
        <v>11</v>
      </c>
      <c r="G93" s="1">
        <v>0</v>
      </c>
      <c r="H93" s="98">
        <v>37000</v>
      </c>
      <c r="I93" s="98">
        <f t="shared" si="4"/>
        <v>94000</v>
      </c>
    </row>
    <row r="94" spans="1:10" x14ac:dyDescent="0.25">
      <c r="A94" t="s">
        <v>62</v>
      </c>
      <c r="B94" s="168" t="s">
        <v>372</v>
      </c>
      <c r="C94" s="1">
        <v>1993</v>
      </c>
      <c r="E94" s="1" t="s">
        <v>11</v>
      </c>
      <c r="H94" s="1">
        <v>30000</v>
      </c>
      <c r="I94" s="98">
        <f t="shared" si="4"/>
        <v>80000</v>
      </c>
    </row>
    <row r="95" spans="1:10" s="135" customFormat="1" x14ac:dyDescent="0.25">
      <c r="A95" t="s">
        <v>62</v>
      </c>
      <c r="B95" s="168" t="s">
        <v>372</v>
      </c>
      <c r="C95" s="1" t="s">
        <v>206</v>
      </c>
      <c r="D95" s="1" t="s">
        <v>1866</v>
      </c>
      <c r="E95" s="1" t="s">
        <v>13</v>
      </c>
      <c r="F95"/>
      <c r="G95" s="1">
        <v>5</v>
      </c>
      <c r="H95" s="98">
        <v>20000</v>
      </c>
      <c r="I95" s="98">
        <f t="shared" si="4"/>
        <v>60000</v>
      </c>
      <c r="J95"/>
    </row>
    <row r="96" spans="1:10" x14ac:dyDescent="0.25">
      <c r="A96" s="135" t="s">
        <v>62</v>
      </c>
      <c r="B96" s="166" t="s">
        <v>374</v>
      </c>
      <c r="C96" s="136" t="s">
        <v>375</v>
      </c>
      <c r="D96" s="136" t="s">
        <v>2060</v>
      </c>
      <c r="E96" s="136" t="s">
        <v>13</v>
      </c>
      <c r="F96" s="135"/>
      <c r="G96" s="136">
        <v>1</v>
      </c>
      <c r="H96" s="136">
        <v>30000</v>
      </c>
      <c r="I96" s="137">
        <f t="shared" si="4"/>
        <v>80000</v>
      </c>
      <c r="J96" s="135"/>
    </row>
    <row r="97" spans="1:10" s="135" customFormat="1" x14ac:dyDescent="0.25">
      <c r="A97" t="s">
        <v>62</v>
      </c>
      <c r="B97" s="168" t="s">
        <v>455</v>
      </c>
      <c r="C97" s="1" t="s">
        <v>456</v>
      </c>
      <c r="D97" s="1" t="s">
        <v>227</v>
      </c>
      <c r="E97" s="1" t="s">
        <v>11</v>
      </c>
      <c r="F97"/>
      <c r="G97" s="1">
        <v>0</v>
      </c>
      <c r="H97" s="1">
        <v>51000</v>
      </c>
      <c r="I97" s="98">
        <f t="shared" si="4"/>
        <v>122000</v>
      </c>
      <c r="J97"/>
    </row>
    <row r="98" spans="1:10" s="135" customFormat="1" x14ac:dyDescent="0.25">
      <c r="A98" s="135" t="s">
        <v>62</v>
      </c>
      <c r="B98" s="166" t="s">
        <v>457</v>
      </c>
      <c r="C98" s="136" t="s">
        <v>393</v>
      </c>
      <c r="D98" s="136" t="s">
        <v>1632</v>
      </c>
      <c r="E98" s="136" t="s">
        <v>11</v>
      </c>
      <c r="G98" s="136">
        <v>2</v>
      </c>
      <c r="H98" s="136">
        <v>56000</v>
      </c>
      <c r="I98" s="137">
        <f t="shared" si="4"/>
        <v>132000</v>
      </c>
    </row>
    <row r="99" spans="1:10" x14ac:dyDescent="0.25">
      <c r="A99" s="135" t="s">
        <v>62</v>
      </c>
      <c r="B99" s="166" t="s">
        <v>657</v>
      </c>
      <c r="C99" s="136"/>
      <c r="D99" s="136" t="s">
        <v>1866</v>
      </c>
      <c r="E99" s="136" t="s">
        <v>13</v>
      </c>
      <c r="F99" s="135"/>
      <c r="G99" s="136">
        <v>2</v>
      </c>
      <c r="H99" s="137">
        <v>30000</v>
      </c>
      <c r="I99" s="137">
        <f t="shared" si="4"/>
        <v>80000</v>
      </c>
      <c r="J99" s="135"/>
    </row>
    <row r="100" spans="1:10" s="135" customFormat="1" ht="19.5" customHeight="1" x14ac:dyDescent="0.25">
      <c r="A100" t="s">
        <v>490</v>
      </c>
      <c r="B100" s="168" t="s">
        <v>490</v>
      </c>
      <c r="C100" s="1"/>
      <c r="D100" s="1"/>
      <c r="E100" s="1"/>
      <c r="F100"/>
      <c r="G100" s="1"/>
      <c r="H100" s="98"/>
      <c r="I100" s="98"/>
      <c r="J100"/>
    </row>
    <row r="101" spans="1:10" x14ac:dyDescent="0.25">
      <c r="A101" t="s">
        <v>490</v>
      </c>
      <c r="B101" s="168" t="s">
        <v>490</v>
      </c>
      <c r="H101" s="98"/>
      <c r="I101" s="98"/>
    </row>
    <row r="102" spans="1:10" x14ac:dyDescent="0.25">
      <c r="A102" t="s">
        <v>490</v>
      </c>
      <c r="B102" s="168" t="s">
        <v>490</v>
      </c>
    </row>
    <row r="103" spans="1:10" x14ac:dyDescent="0.25">
      <c r="A103" t="s">
        <v>493</v>
      </c>
      <c r="B103" s="168" t="s">
        <v>493</v>
      </c>
      <c r="D103" s="1">
        <v>91</v>
      </c>
      <c r="G103" s="1">
        <v>3</v>
      </c>
      <c r="I103" s="1"/>
    </row>
    <row r="104" spans="1:10" s="135" customFormat="1" x14ac:dyDescent="0.25">
      <c r="A104" t="s">
        <v>493</v>
      </c>
      <c r="B104" s="168" t="s">
        <v>493</v>
      </c>
      <c r="C104" s="1"/>
      <c r="D104" s="1">
        <v>92</v>
      </c>
      <c r="E104" s="1"/>
      <c r="F104"/>
      <c r="G104" s="1">
        <v>8</v>
      </c>
      <c r="H104" s="1"/>
      <c r="I104" s="2"/>
      <c r="J104"/>
    </row>
    <row r="105" spans="1:10" x14ac:dyDescent="0.25">
      <c r="A105" t="s">
        <v>493</v>
      </c>
      <c r="B105" s="168" t="s">
        <v>494</v>
      </c>
      <c r="D105" s="1">
        <v>94</v>
      </c>
      <c r="E105" s="1" t="s">
        <v>13</v>
      </c>
    </row>
    <row r="106" spans="1:10" x14ac:dyDescent="0.25">
      <c r="A106" t="s">
        <v>334</v>
      </c>
      <c r="B106" s="168" t="s">
        <v>335</v>
      </c>
      <c r="C106" s="1" t="s">
        <v>336</v>
      </c>
      <c r="E106" s="1" t="s">
        <v>11</v>
      </c>
      <c r="G106" s="1">
        <v>0</v>
      </c>
      <c r="H106" s="1">
        <v>56000</v>
      </c>
      <c r="I106" s="98">
        <f t="shared" ref="I106:I126" si="5">H106*2+20000</f>
        <v>132000</v>
      </c>
    </row>
    <row r="107" spans="1:10" s="135" customFormat="1" x14ac:dyDescent="0.25">
      <c r="A107" t="s">
        <v>334</v>
      </c>
      <c r="B107" s="168" t="s">
        <v>376</v>
      </c>
      <c r="C107" s="1"/>
      <c r="D107" s="1" t="s">
        <v>193</v>
      </c>
      <c r="E107" s="1" t="s">
        <v>13</v>
      </c>
      <c r="F107" s="1" t="s">
        <v>1936</v>
      </c>
      <c r="G107" s="1">
        <v>1</v>
      </c>
      <c r="H107" s="98"/>
      <c r="I107" s="98">
        <f t="shared" si="5"/>
        <v>20000</v>
      </c>
      <c r="J107"/>
    </row>
    <row r="108" spans="1:10" x14ac:dyDescent="0.25">
      <c r="A108" t="s">
        <v>334</v>
      </c>
      <c r="B108" s="168" t="s">
        <v>479</v>
      </c>
      <c r="C108" s="1" t="s">
        <v>480</v>
      </c>
      <c r="H108" s="1">
        <v>43000</v>
      </c>
      <c r="I108" s="98">
        <f t="shared" si="5"/>
        <v>106000</v>
      </c>
    </row>
    <row r="109" spans="1:10" x14ac:dyDescent="0.25">
      <c r="A109" t="s">
        <v>334</v>
      </c>
      <c r="B109" s="169" t="s">
        <v>481</v>
      </c>
      <c r="C109" s="1" t="s">
        <v>468</v>
      </c>
      <c r="D109" s="1" t="s">
        <v>1965</v>
      </c>
      <c r="E109" s="1" t="s">
        <v>11</v>
      </c>
      <c r="G109" s="1">
        <v>1</v>
      </c>
      <c r="H109" s="1">
        <v>52000</v>
      </c>
      <c r="I109" s="98">
        <f t="shared" si="5"/>
        <v>124000</v>
      </c>
    </row>
    <row r="110" spans="1:10" x14ac:dyDescent="0.25">
      <c r="A110" s="135" t="s">
        <v>334</v>
      </c>
      <c r="B110" s="166" t="s">
        <v>507</v>
      </c>
      <c r="C110" s="136" t="s">
        <v>480</v>
      </c>
      <c r="D110" s="136" t="s">
        <v>1941</v>
      </c>
      <c r="E110" s="136" t="s">
        <v>11</v>
      </c>
      <c r="F110" s="135"/>
      <c r="G110" s="136">
        <v>1</v>
      </c>
      <c r="H110" s="137">
        <v>35000</v>
      </c>
      <c r="I110" s="137">
        <f t="shared" si="5"/>
        <v>90000</v>
      </c>
      <c r="J110" s="135"/>
    </row>
    <row r="111" spans="1:10" s="135" customFormat="1" ht="15" customHeight="1" x14ac:dyDescent="0.25">
      <c r="A111" s="135" t="s">
        <v>334</v>
      </c>
      <c r="B111" s="166" t="s">
        <v>520</v>
      </c>
      <c r="C111" s="136" t="s">
        <v>521</v>
      </c>
      <c r="D111" s="136" t="s">
        <v>407</v>
      </c>
      <c r="E111" s="136" t="s">
        <v>11</v>
      </c>
      <c r="G111" s="136">
        <v>0</v>
      </c>
      <c r="H111" s="137">
        <v>53000</v>
      </c>
      <c r="I111" s="137">
        <f t="shared" si="5"/>
        <v>126000</v>
      </c>
    </row>
    <row r="112" spans="1:10" s="135" customFormat="1" ht="15" customHeight="1" x14ac:dyDescent="0.25">
      <c r="A112" t="s">
        <v>334</v>
      </c>
      <c r="B112" s="168" t="s">
        <v>520</v>
      </c>
      <c r="C112" s="1" t="s">
        <v>94</v>
      </c>
      <c r="D112" s="1" t="s">
        <v>1984</v>
      </c>
      <c r="E112" s="1" t="s">
        <v>13</v>
      </c>
      <c r="F112"/>
      <c r="G112" s="1">
        <v>0</v>
      </c>
      <c r="H112" s="1">
        <v>54000</v>
      </c>
      <c r="I112" s="1">
        <f t="shared" si="5"/>
        <v>128000</v>
      </c>
      <c r="J112"/>
    </row>
    <row r="113" spans="1:10" ht="15" customHeight="1" x14ac:dyDescent="0.25">
      <c r="A113" s="135" t="s">
        <v>495</v>
      </c>
      <c r="B113" s="166" t="s">
        <v>496</v>
      </c>
      <c r="C113" s="136"/>
      <c r="D113" s="136" t="s">
        <v>675</v>
      </c>
      <c r="E113" s="136" t="s">
        <v>11</v>
      </c>
      <c r="F113" s="135"/>
      <c r="G113" s="136">
        <v>2</v>
      </c>
      <c r="H113" s="137">
        <v>36000</v>
      </c>
      <c r="I113" s="137">
        <f t="shared" si="5"/>
        <v>92000</v>
      </c>
      <c r="J113" s="135"/>
    </row>
    <row r="114" spans="1:10" ht="15" customHeight="1" x14ac:dyDescent="0.25">
      <c r="A114" t="s">
        <v>136</v>
      </c>
      <c r="B114" s="168" t="s">
        <v>137</v>
      </c>
      <c r="C114" s="1" t="s">
        <v>119</v>
      </c>
      <c r="E114" s="1" t="s">
        <v>11</v>
      </c>
      <c r="G114" s="1">
        <v>0</v>
      </c>
      <c r="H114" s="1">
        <v>60000</v>
      </c>
      <c r="I114" s="1">
        <f t="shared" si="5"/>
        <v>140000</v>
      </c>
    </row>
    <row r="115" spans="1:10" ht="15" customHeight="1" x14ac:dyDescent="0.25">
      <c r="A115" t="s">
        <v>339</v>
      </c>
      <c r="B115" s="168" t="s">
        <v>340</v>
      </c>
      <c r="C115" s="1" t="s">
        <v>19</v>
      </c>
      <c r="E115" s="1" t="s">
        <v>11</v>
      </c>
      <c r="G115" s="1">
        <v>0</v>
      </c>
      <c r="H115" s="101">
        <v>50000</v>
      </c>
      <c r="I115" s="1">
        <f t="shared" si="5"/>
        <v>120000</v>
      </c>
    </row>
    <row r="116" spans="1:10" ht="15" customHeight="1" x14ac:dyDescent="0.25">
      <c r="A116" t="s">
        <v>473</v>
      </c>
      <c r="B116" s="168" t="s">
        <v>474</v>
      </c>
      <c r="C116" s="1" t="s">
        <v>119</v>
      </c>
      <c r="E116" s="1" t="s">
        <v>11</v>
      </c>
      <c r="G116" s="1">
        <v>0</v>
      </c>
      <c r="H116" s="1">
        <v>66000</v>
      </c>
      <c r="I116" s="98">
        <f t="shared" si="5"/>
        <v>152000</v>
      </c>
    </row>
    <row r="117" spans="1:10" s="135" customFormat="1" ht="15" customHeight="1" x14ac:dyDescent="0.25">
      <c r="A117" t="s">
        <v>39</v>
      </c>
      <c r="B117" s="168">
        <v>500</v>
      </c>
      <c r="C117" s="1" t="s">
        <v>40</v>
      </c>
      <c r="D117" s="1"/>
      <c r="E117" s="1" t="s">
        <v>11</v>
      </c>
      <c r="F117"/>
      <c r="G117" s="1">
        <v>0</v>
      </c>
      <c r="H117" s="1">
        <v>58000</v>
      </c>
      <c r="I117" s="1">
        <f t="shared" si="5"/>
        <v>136000</v>
      </c>
      <c r="J117"/>
    </row>
    <row r="118" spans="1:10" ht="15" customHeight="1" x14ac:dyDescent="0.25">
      <c r="A118" s="135" t="s">
        <v>39</v>
      </c>
      <c r="B118" s="166" t="s">
        <v>288</v>
      </c>
      <c r="C118" s="136" t="s">
        <v>1821</v>
      </c>
      <c r="D118" s="136" t="s">
        <v>442</v>
      </c>
      <c r="E118" s="136" t="s">
        <v>13</v>
      </c>
      <c r="F118" s="135"/>
      <c r="G118" s="136">
        <v>1</v>
      </c>
      <c r="H118" s="137">
        <v>30000</v>
      </c>
      <c r="I118" s="137">
        <f t="shared" si="5"/>
        <v>80000</v>
      </c>
      <c r="J118" s="135"/>
    </row>
    <row r="119" spans="1:10" s="135" customFormat="1" ht="15" customHeight="1" x14ac:dyDescent="0.25">
      <c r="A119" s="135" t="s">
        <v>39</v>
      </c>
      <c r="B119" s="166" t="s">
        <v>388</v>
      </c>
      <c r="C119" s="136"/>
      <c r="D119" s="136" t="s">
        <v>2060</v>
      </c>
      <c r="E119" s="136" t="s">
        <v>13</v>
      </c>
      <c r="G119" s="136">
        <v>1</v>
      </c>
      <c r="H119" s="137">
        <v>27000</v>
      </c>
      <c r="I119" s="137">
        <f t="shared" si="5"/>
        <v>74000</v>
      </c>
    </row>
    <row r="120" spans="1:10" ht="15" customHeight="1" x14ac:dyDescent="0.25">
      <c r="A120" s="135" t="s">
        <v>515</v>
      </c>
      <c r="B120" s="166" t="s">
        <v>516</v>
      </c>
      <c r="C120" s="136" t="s">
        <v>517</v>
      </c>
      <c r="D120" s="136" t="s">
        <v>2038</v>
      </c>
      <c r="E120" s="136" t="s">
        <v>11</v>
      </c>
      <c r="F120" s="135" t="s">
        <v>518</v>
      </c>
      <c r="G120" s="136">
        <v>1</v>
      </c>
      <c r="H120" s="137">
        <v>64000</v>
      </c>
      <c r="I120" s="137">
        <f t="shared" si="5"/>
        <v>148000</v>
      </c>
      <c r="J120" s="135"/>
    </row>
    <row r="121" spans="1:10" s="135" customFormat="1" ht="15" customHeight="1" x14ac:dyDescent="0.25">
      <c r="A121" t="s">
        <v>515</v>
      </c>
      <c r="B121" s="168" t="s">
        <v>516</v>
      </c>
      <c r="C121" s="1" t="s">
        <v>519</v>
      </c>
      <c r="D121" s="1" t="s">
        <v>138</v>
      </c>
      <c r="E121" s="1" t="s">
        <v>11</v>
      </c>
      <c r="F121" t="s">
        <v>1575</v>
      </c>
      <c r="G121" s="1">
        <v>0</v>
      </c>
      <c r="H121" s="98">
        <v>64000</v>
      </c>
      <c r="I121" s="98">
        <f t="shared" si="5"/>
        <v>148000</v>
      </c>
      <c r="J121"/>
    </row>
    <row r="122" spans="1:10" ht="15" customHeight="1" x14ac:dyDescent="0.25">
      <c r="A122" t="s">
        <v>183</v>
      </c>
      <c r="B122" s="168" t="s">
        <v>184</v>
      </c>
      <c r="C122" s="1" t="s">
        <v>185</v>
      </c>
      <c r="E122" s="1" t="s">
        <v>11</v>
      </c>
      <c r="G122" s="1">
        <v>0</v>
      </c>
      <c r="H122" s="1">
        <v>47000</v>
      </c>
      <c r="I122" s="98">
        <f t="shared" si="5"/>
        <v>114000</v>
      </c>
    </row>
    <row r="123" spans="1:10" ht="15" customHeight="1" x14ac:dyDescent="0.25">
      <c r="A123" t="s">
        <v>183</v>
      </c>
      <c r="B123" s="168" t="s">
        <v>341</v>
      </c>
      <c r="C123" s="1" t="s">
        <v>342</v>
      </c>
      <c r="D123" s="1" t="s">
        <v>1599</v>
      </c>
      <c r="E123" s="1" t="s">
        <v>11</v>
      </c>
      <c r="H123" s="98">
        <v>48000</v>
      </c>
      <c r="I123" s="98">
        <f t="shared" si="5"/>
        <v>116000</v>
      </c>
    </row>
    <row r="124" spans="1:10" s="135" customFormat="1" ht="15" customHeight="1" x14ac:dyDescent="0.25">
      <c r="A124" t="s">
        <v>183</v>
      </c>
      <c r="B124" s="168" t="s">
        <v>343</v>
      </c>
      <c r="C124" s="1" t="s">
        <v>113</v>
      </c>
      <c r="D124" s="1" t="s">
        <v>1892</v>
      </c>
      <c r="E124" s="1" t="s">
        <v>11</v>
      </c>
      <c r="F124"/>
      <c r="G124" s="1">
        <v>1</v>
      </c>
      <c r="H124" s="98">
        <v>77000</v>
      </c>
      <c r="I124" s="98">
        <f t="shared" si="5"/>
        <v>174000</v>
      </c>
      <c r="J124"/>
    </row>
    <row r="125" spans="1:10" ht="15" customHeight="1" x14ac:dyDescent="0.25">
      <c r="A125" s="135" t="s">
        <v>183</v>
      </c>
      <c r="B125" s="166" t="s">
        <v>536</v>
      </c>
      <c r="C125" s="136" t="s">
        <v>116</v>
      </c>
      <c r="D125" s="136" t="s">
        <v>178</v>
      </c>
      <c r="E125" s="136" t="s">
        <v>11</v>
      </c>
      <c r="F125" s="136" t="s">
        <v>537</v>
      </c>
      <c r="G125" s="136">
        <v>1</v>
      </c>
      <c r="H125" s="137">
        <v>33000</v>
      </c>
      <c r="I125" s="137">
        <f t="shared" si="5"/>
        <v>86000</v>
      </c>
      <c r="J125" s="135"/>
    </row>
    <row r="126" spans="1:10" ht="15" customHeight="1" x14ac:dyDescent="0.25">
      <c r="A126" t="s">
        <v>183</v>
      </c>
      <c r="B126" s="168" t="s">
        <v>538</v>
      </c>
      <c r="C126" s="1" t="s">
        <v>460</v>
      </c>
      <c r="E126" s="1" t="s">
        <v>11</v>
      </c>
      <c r="G126" s="1">
        <v>0</v>
      </c>
      <c r="H126" s="1">
        <v>55000</v>
      </c>
      <c r="I126" s="98">
        <f t="shared" si="5"/>
        <v>130000</v>
      </c>
    </row>
    <row r="127" spans="1:10" s="135" customFormat="1" ht="15" customHeight="1" x14ac:dyDescent="0.25">
      <c r="A127" t="s">
        <v>183</v>
      </c>
      <c r="B127" s="168" t="s">
        <v>540</v>
      </c>
      <c r="C127" s="1" t="s">
        <v>377</v>
      </c>
      <c r="D127" s="1"/>
      <c r="E127" s="1" t="s">
        <v>11</v>
      </c>
      <c r="F127"/>
      <c r="G127" s="1">
        <v>0</v>
      </c>
      <c r="H127" s="98">
        <v>82000</v>
      </c>
      <c r="I127" s="98">
        <v>190000</v>
      </c>
      <c r="J127"/>
    </row>
    <row r="128" spans="1:10" ht="15" customHeight="1" x14ac:dyDescent="0.25">
      <c r="A128" t="s">
        <v>183</v>
      </c>
      <c r="B128" s="168" t="s">
        <v>562</v>
      </c>
      <c r="C128" s="1" t="s">
        <v>563</v>
      </c>
      <c r="E128" s="1" t="s">
        <v>11</v>
      </c>
      <c r="G128" s="1">
        <v>0</v>
      </c>
      <c r="H128" s="1">
        <v>62000</v>
      </c>
      <c r="I128" s="98">
        <f>H128*2+20000</f>
        <v>144000</v>
      </c>
    </row>
    <row r="129" spans="1:12" s="135" customFormat="1" ht="15" customHeight="1" x14ac:dyDescent="0.25">
      <c r="A129" s="135" t="s">
        <v>183</v>
      </c>
      <c r="B129" s="166" t="s">
        <v>568</v>
      </c>
      <c r="C129" s="136" t="s">
        <v>569</v>
      </c>
      <c r="D129" s="136" t="s">
        <v>178</v>
      </c>
      <c r="E129" s="136" t="s">
        <v>11</v>
      </c>
      <c r="F129" s="135" t="s">
        <v>537</v>
      </c>
      <c r="G129" s="136">
        <v>2</v>
      </c>
      <c r="H129" s="137">
        <v>35000</v>
      </c>
      <c r="I129" s="137">
        <f>H129*2+20000</f>
        <v>90000</v>
      </c>
    </row>
    <row r="130" spans="1:12" s="135" customFormat="1" ht="15" customHeight="1" x14ac:dyDescent="0.25">
      <c r="A130" s="135" t="s">
        <v>183</v>
      </c>
      <c r="B130" s="166" t="s">
        <v>538</v>
      </c>
      <c r="C130" s="136" t="s">
        <v>280</v>
      </c>
      <c r="D130" s="136" t="s">
        <v>2060</v>
      </c>
      <c r="E130" s="136" t="s">
        <v>13</v>
      </c>
      <c r="F130" s="136" t="s">
        <v>250</v>
      </c>
      <c r="G130" s="136">
        <v>1</v>
      </c>
      <c r="H130" s="136">
        <v>30000</v>
      </c>
      <c r="I130" s="137">
        <f>H130*2+20000</f>
        <v>80000</v>
      </c>
    </row>
    <row r="131" spans="1:12" s="135" customFormat="1" ht="15" customHeight="1" x14ac:dyDescent="0.25">
      <c r="A131" s="135" t="s">
        <v>183</v>
      </c>
      <c r="B131" s="166" t="s">
        <v>1639</v>
      </c>
      <c r="C131" s="136" t="s">
        <v>214</v>
      </c>
      <c r="D131" s="136" t="s">
        <v>178</v>
      </c>
      <c r="E131" s="136" t="s">
        <v>11</v>
      </c>
      <c r="G131" s="136">
        <v>1</v>
      </c>
      <c r="H131" s="136">
        <v>42000</v>
      </c>
      <c r="I131" s="136">
        <v>110000</v>
      </c>
      <c r="K131" s="147"/>
      <c r="L131" s="147"/>
    </row>
    <row r="132" spans="1:12" ht="15" customHeight="1" x14ac:dyDescent="0.25">
      <c r="A132" t="s">
        <v>183</v>
      </c>
      <c r="B132" s="168" t="s">
        <v>588</v>
      </c>
      <c r="C132" s="1" t="s">
        <v>298</v>
      </c>
      <c r="D132" s="1" t="s">
        <v>482</v>
      </c>
      <c r="E132" s="1" t="s">
        <v>11</v>
      </c>
      <c r="G132" s="1">
        <v>0</v>
      </c>
      <c r="H132" s="98">
        <v>58000</v>
      </c>
      <c r="I132" s="98">
        <f t="shared" ref="I132:I154" si="6">H132*2+20000</f>
        <v>136000</v>
      </c>
      <c r="K132" s="99"/>
      <c r="L132" s="99"/>
    </row>
    <row r="133" spans="1:12" s="135" customFormat="1" ht="15" customHeight="1" x14ac:dyDescent="0.25">
      <c r="A133" t="s">
        <v>183</v>
      </c>
      <c r="B133" s="168" t="s">
        <v>590</v>
      </c>
      <c r="C133" s="1" t="s">
        <v>591</v>
      </c>
      <c r="D133" s="1" t="s">
        <v>240</v>
      </c>
      <c r="E133" s="1" t="s">
        <v>381</v>
      </c>
      <c r="F133"/>
      <c r="G133" s="1">
        <v>0</v>
      </c>
      <c r="H133" s="98">
        <v>64000</v>
      </c>
      <c r="I133" s="98">
        <f t="shared" si="6"/>
        <v>148000</v>
      </c>
      <c r="J133"/>
    </row>
    <row r="134" spans="1:12" s="135" customFormat="1" ht="15" customHeight="1" x14ac:dyDescent="0.25">
      <c r="A134" t="s">
        <v>183</v>
      </c>
      <c r="B134" s="168" t="s">
        <v>592</v>
      </c>
      <c r="C134" s="1" t="s">
        <v>593</v>
      </c>
      <c r="D134" s="1" t="s">
        <v>589</v>
      </c>
      <c r="E134" s="1" t="s">
        <v>11</v>
      </c>
      <c r="F134"/>
      <c r="G134" s="1">
        <v>0</v>
      </c>
      <c r="H134" s="1">
        <v>45000</v>
      </c>
      <c r="I134" s="98">
        <f t="shared" si="6"/>
        <v>110000</v>
      </c>
      <c r="J134"/>
    </row>
    <row r="135" spans="1:12" ht="15" customHeight="1" x14ac:dyDescent="0.25">
      <c r="A135" t="s">
        <v>183</v>
      </c>
      <c r="B135" s="168" t="s">
        <v>594</v>
      </c>
      <c r="E135" s="1" t="s">
        <v>13</v>
      </c>
      <c r="H135" s="98">
        <v>35000</v>
      </c>
      <c r="I135" s="98">
        <f t="shared" si="6"/>
        <v>90000</v>
      </c>
    </row>
    <row r="136" spans="1:12" ht="15" customHeight="1" x14ac:dyDescent="0.25">
      <c r="A136" s="135" t="s">
        <v>183</v>
      </c>
      <c r="B136" s="166" t="s">
        <v>595</v>
      </c>
      <c r="C136" s="136" t="s">
        <v>596</v>
      </c>
      <c r="D136" s="136" t="s">
        <v>539</v>
      </c>
      <c r="E136" s="136" t="s">
        <v>11</v>
      </c>
      <c r="F136" s="136" t="s">
        <v>597</v>
      </c>
      <c r="G136" s="136">
        <v>1</v>
      </c>
      <c r="H136" s="136">
        <v>43000</v>
      </c>
      <c r="I136" s="137">
        <f t="shared" si="6"/>
        <v>106000</v>
      </c>
      <c r="J136" s="135"/>
    </row>
    <row r="137" spans="1:12" ht="15" customHeight="1" x14ac:dyDescent="0.25">
      <c r="A137" t="s">
        <v>183</v>
      </c>
      <c r="B137" s="168" t="s">
        <v>600</v>
      </c>
      <c r="C137" s="1" t="s">
        <v>601</v>
      </c>
      <c r="E137" s="1" t="s">
        <v>11</v>
      </c>
      <c r="G137" s="1">
        <v>0</v>
      </c>
      <c r="H137" s="1">
        <v>38000</v>
      </c>
      <c r="I137" s="1">
        <f t="shared" si="6"/>
        <v>96000</v>
      </c>
    </row>
    <row r="138" spans="1:12" s="135" customFormat="1" ht="15" customHeight="1" x14ac:dyDescent="0.25">
      <c r="A138" t="s">
        <v>183</v>
      </c>
      <c r="B138" s="168" t="s">
        <v>602</v>
      </c>
      <c r="C138" s="1"/>
      <c r="D138" s="1">
        <v>2</v>
      </c>
      <c r="E138" s="1" t="s">
        <v>13</v>
      </c>
      <c r="F138" s="1" t="s">
        <v>603</v>
      </c>
      <c r="G138" s="1">
        <v>1</v>
      </c>
      <c r="H138" s="1">
        <v>47600</v>
      </c>
      <c r="I138" s="1">
        <f t="shared" si="6"/>
        <v>115200</v>
      </c>
      <c r="J138"/>
    </row>
    <row r="139" spans="1:12" s="135" customFormat="1" ht="15" customHeight="1" x14ac:dyDescent="0.25">
      <c r="A139" t="s">
        <v>183</v>
      </c>
      <c r="B139" s="168" t="s">
        <v>604</v>
      </c>
      <c r="C139" s="1" t="s">
        <v>377</v>
      </c>
      <c r="D139" s="1" t="s">
        <v>178</v>
      </c>
      <c r="E139" s="1" t="s">
        <v>11</v>
      </c>
      <c r="F139" s="124"/>
      <c r="G139" s="1">
        <v>0</v>
      </c>
      <c r="H139" s="98">
        <v>94000</v>
      </c>
      <c r="I139" s="98">
        <f t="shared" si="6"/>
        <v>208000</v>
      </c>
      <c r="J139"/>
    </row>
    <row r="140" spans="1:12" ht="15" customHeight="1" x14ac:dyDescent="0.25">
      <c r="A140" t="s">
        <v>183</v>
      </c>
      <c r="B140" s="168" t="s">
        <v>605</v>
      </c>
      <c r="C140" s="1" t="s">
        <v>606</v>
      </c>
      <c r="D140" s="1" t="s">
        <v>353</v>
      </c>
      <c r="E140" s="1" t="s">
        <v>11</v>
      </c>
      <c r="G140" s="1">
        <v>0</v>
      </c>
      <c r="H140" s="98">
        <v>70000</v>
      </c>
      <c r="I140" s="1">
        <f t="shared" si="6"/>
        <v>160000</v>
      </c>
    </row>
    <row r="141" spans="1:12" s="135" customFormat="1" ht="15" customHeight="1" x14ac:dyDescent="0.25">
      <c r="A141" t="s">
        <v>183</v>
      </c>
      <c r="B141" s="168" t="s">
        <v>607</v>
      </c>
      <c r="C141" s="1" t="s">
        <v>377</v>
      </c>
      <c r="D141" s="1" t="s">
        <v>178</v>
      </c>
      <c r="E141" s="1" t="s">
        <v>11</v>
      </c>
      <c r="F141"/>
      <c r="G141" s="1">
        <v>0</v>
      </c>
      <c r="H141" s="1">
        <v>67000</v>
      </c>
      <c r="I141" s="98">
        <f t="shared" si="6"/>
        <v>154000</v>
      </c>
      <c r="J141"/>
    </row>
    <row r="142" spans="1:12" s="135" customFormat="1" ht="15" customHeight="1" x14ac:dyDescent="0.25">
      <c r="A142" s="135" t="s">
        <v>183</v>
      </c>
      <c r="B142" s="166" t="s">
        <v>617</v>
      </c>
      <c r="C142" s="136" t="s">
        <v>618</v>
      </c>
      <c r="D142" s="136" t="s">
        <v>98</v>
      </c>
      <c r="E142" s="136" t="s">
        <v>11</v>
      </c>
      <c r="F142" s="135" t="s">
        <v>101</v>
      </c>
      <c r="G142" s="136">
        <v>1</v>
      </c>
      <c r="H142" s="136">
        <v>70000</v>
      </c>
      <c r="I142" s="136">
        <f t="shared" si="6"/>
        <v>160000</v>
      </c>
    </row>
    <row r="143" spans="1:12" ht="15" customHeight="1" x14ac:dyDescent="0.25">
      <c r="A143" s="135" t="s">
        <v>183</v>
      </c>
      <c r="B143" s="166" t="s">
        <v>617</v>
      </c>
      <c r="C143" s="136" t="s">
        <v>100</v>
      </c>
      <c r="D143" s="136" t="s">
        <v>98</v>
      </c>
      <c r="E143" s="136" t="s">
        <v>11</v>
      </c>
      <c r="F143" s="135"/>
      <c r="G143" s="136">
        <v>1</v>
      </c>
      <c r="H143" s="137">
        <v>52000</v>
      </c>
      <c r="I143" s="137">
        <f t="shared" si="6"/>
        <v>124000</v>
      </c>
      <c r="J143" s="135"/>
    </row>
    <row r="144" spans="1:12" s="135" customFormat="1" ht="15" customHeight="1" x14ac:dyDescent="0.25">
      <c r="A144" t="s">
        <v>183</v>
      </c>
      <c r="B144" s="168" t="s">
        <v>617</v>
      </c>
      <c r="C144" s="1" t="s">
        <v>619</v>
      </c>
      <c r="D144" s="1"/>
      <c r="E144" s="1" t="s">
        <v>289</v>
      </c>
      <c r="F144"/>
      <c r="G144" s="1"/>
      <c r="H144" s="1">
        <v>30000</v>
      </c>
      <c r="I144" s="1">
        <f t="shared" si="6"/>
        <v>80000</v>
      </c>
      <c r="J144"/>
    </row>
    <row r="145" spans="1:10" ht="15" customHeight="1" x14ac:dyDescent="0.25">
      <c r="A145" s="135" t="s">
        <v>183</v>
      </c>
      <c r="B145" s="166" t="s">
        <v>617</v>
      </c>
      <c r="C145" s="136" t="s">
        <v>54</v>
      </c>
      <c r="D145" s="136" t="s">
        <v>98</v>
      </c>
      <c r="E145" s="136" t="s">
        <v>11</v>
      </c>
      <c r="F145" s="135" t="s">
        <v>101</v>
      </c>
      <c r="G145" s="136">
        <v>1</v>
      </c>
      <c r="H145" s="136">
        <v>70000</v>
      </c>
      <c r="I145" s="136">
        <f t="shared" si="6"/>
        <v>160000</v>
      </c>
      <c r="J145" s="135"/>
    </row>
    <row r="146" spans="1:10" ht="15" customHeight="1" x14ac:dyDescent="0.25">
      <c r="A146" t="s">
        <v>183</v>
      </c>
      <c r="B146" s="168" t="s">
        <v>623</v>
      </c>
      <c r="C146" s="1" t="s">
        <v>624</v>
      </c>
      <c r="E146" s="1" t="s">
        <v>11</v>
      </c>
      <c r="G146" s="1">
        <v>0</v>
      </c>
      <c r="H146" s="1">
        <v>39000</v>
      </c>
      <c r="I146" s="98">
        <f t="shared" si="6"/>
        <v>98000</v>
      </c>
    </row>
    <row r="147" spans="1:10" ht="15" customHeight="1" x14ac:dyDescent="0.25">
      <c r="A147" s="132" t="s">
        <v>183</v>
      </c>
      <c r="B147" s="167" t="s">
        <v>623</v>
      </c>
      <c r="C147" s="133" t="s">
        <v>625</v>
      </c>
      <c r="D147" s="133" t="s">
        <v>32</v>
      </c>
      <c r="E147" s="133" t="s">
        <v>13</v>
      </c>
      <c r="F147" s="132"/>
      <c r="G147" s="133">
        <v>1</v>
      </c>
      <c r="H147" s="134">
        <v>30000</v>
      </c>
      <c r="I147" s="134">
        <f t="shared" si="6"/>
        <v>80000</v>
      </c>
      <c r="J147" s="132"/>
    </row>
    <row r="148" spans="1:10" ht="15" customHeight="1" x14ac:dyDescent="0.25">
      <c r="A148" s="132" t="s">
        <v>183</v>
      </c>
      <c r="B148" s="167" t="s">
        <v>623</v>
      </c>
      <c r="C148" s="133">
        <v>2008</v>
      </c>
      <c r="D148" s="133" t="s">
        <v>80</v>
      </c>
      <c r="E148" s="133" t="s">
        <v>13</v>
      </c>
      <c r="F148" s="132" t="s">
        <v>1995</v>
      </c>
      <c r="G148" s="133">
        <v>1</v>
      </c>
      <c r="H148" s="134">
        <v>30000</v>
      </c>
      <c r="I148" s="134">
        <f t="shared" si="6"/>
        <v>80000</v>
      </c>
      <c r="J148" s="146"/>
    </row>
    <row r="149" spans="1:10" ht="15" customHeight="1" x14ac:dyDescent="0.25">
      <c r="A149" t="s">
        <v>183</v>
      </c>
      <c r="B149" s="168" t="s">
        <v>623</v>
      </c>
      <c r="C149" s="1" t="s">
        <v>368</v>
      </c>
      <c r="D149" s="1" t="s">
        <v>227</v>
      </c>
      <c r="E149" s="1" t="s">
        <v>11</v>
      </c>
      <c r="G149" s="1">
        <v>0</v>
      </c>
      <c r="H149" s="1">
        <v>70000</v>
      </c>
      <c r="I149" s="98">
        <f t="shared" si="6"/>
        <v>160000</v>
      </c>
    </row>
    <row r="150" spans="1:10" ht="15" customHeight="1" x14ac:dyDescent="0.25">
      <c r="A150" s="135" t="s">
        <v>564</v>
      </c>
      <c r="B150" s="166" t="s">
        <v>565</v>
      </c>
      <c r="C150" s="136" t="s">
        <v>566</v>
      </c>
      <c r="D150" s="136" t="s">
        <v>316</v>
      </c>
      <c r="E150" s="136" t="s">
        <v>11</v>
      </c>
      <c r="F150" s="135"/>
      <c r="G150" s="136">
        <v>1</v>
      </c>
      <c r="H150" s="137">
        <v>50000</v>
      </c>
      <c r="I150" s="137">
        <f t="shared" si="6"/>
        <v>120000</v>
      </c>
      <c r="J150" s="135"/>
    </row>
    <row r="151" spans="1:10" s="135" customFormat="1" ht="15" customHeight="1" x14ac:dyDescent="0.25">
      <c r="A151" t="s">
        <v>234</v>
      </c>
      <c r="B151" s="168" t="s">
        <v>235</v>
      </c>
      <c r="C151" s="1">
        <v>2010</v>
      </c>
      <c r="D151" s="1" t="s">
        <v>1905</v>
      </c>
      <c r="E151" s="1" t="s">
        <v>11</v>
      </c>
      <c r="F151" s="1" t="s">
        <v>48</v>
      </c>
      <c r="G151" s="1">
        <v>1</v>
      </c>
      <c r="H151" s="98">
        <v>50000</v>
      </c>
      <c r="I151" s="98">
        <f t="shared" si="6"/>
        <v>120000</v>
      </c>
      <c r="J151"/>
    </row>
    <row r="152" spans="1:10" s="135" customFormat="1" ht="15" customHeight="1" x14ac:dyDescent="0.25">
      <c r="A152" t="s">
        <v>234</v>
      </c>
      <c r="B152" s="168" t="s">
        <v>236</v>
      </c>
      <c r="C152" s="1">
        <v>2010</v>
      </c>
      <c r="D152" s="1">
        <v>111</v>
      </c>
      <c r="E152" s="1" t="s">
        <v>11</v>
      </c>
      <c r="F152"/>
      <c r="G152" s="1"/>
      <c r="H152" s="98">
        <v>55000</v>
      </c>
      <c r="I152" s="98">
        <f t="shared" si="6"/>
        <v>130000</v>
      </c>
      <c r="J152"/>
    </row>
    <row r="153" spans="1:10" ht="15" customHeight="1" x14ac:dyDescent="0.25">
      <c r="A153" t="s">
        <v>234</v>
      </c>
      <c r="B153" s="168" t="s">
        <v>237</v>
      </c>
      <c r="C153" s="1" t="s">
        <v>197</v>
      </c>
      <c r="D153" s="1">
        <v>112</v>
      </c>
      <c r="E153" s="1" t="s">
        <v>11</v>
      </c>
      <c r="F153" s="1"/>
      <c r="H153" s="98">
        <v>44000</v>
      </c>
      <c r="I153" s="98">
        <f t="shared" si="6"/>
        <v>108000</v>
      </c>
    </row>
    <row r="154" spans="1:10" s="135" customFormat="1" ht="15" customHeight="1" x14ac:dyDescent="0.25">
      <c r="A154" t="s">
        <v>234</v>
      </c>
      <c r="B154" s="168" t="s">
        <v>237</v>
      </c>
      <c r="C154" s="1">
        <v>2010</v>
      </c>
      <c r="D154" s="1">
        <v>113</v>
      </c>
      <c r="E154" s="1" t="s">
        <v>11</v>
      </c>
      <c r="F154"/>
      <c r="G154" s="1"/>
      <c r="H154" s="98">
        <v>44000</v>
      </c>
      <c r="I154" s="98">
        <f t="shared" si="6"/>
        <v>108000</v>
      </c>
      <c r="J154"/>
    </row>
    <row r="155" spans="1:10" ht="15" customHeight="1" x14ac:dyDescent="0.25">
      <c r="A155" t="s">
        <v>234</v>
      </c>
      <c r="B155" s="168" t="s">
        <v>633</v>
      </c>
      <c r="C155" s="1">
        <v>1995</v>
      </c>
      <c r="D155" s="1" t="s">
        <v>1974</v>
      </c>
      <c r="E155" s="1" t="s">
        <v>11</v>
      </c>
      <c r="G155" s="1">
        <v>1</v>
      </c>
    </row>
    <row r="156" spans="1:10" ht="15" customHeight="1" x14ac:dyDescent="0.25">
      <c r="A156" t="s">
        <v>649</v>
      </c>
      <c r="B156" s="168" t="s">
        <v>650</v>
      </c>
      <c r="C156" s="1" t="s">
        <v>103</v>
      </c>
      <c r="E156" s="1" t="s">
        <v>11</v>
      </c>
      <c r="G156" s="1">
        <v>0</v>
      </c>
      <c r="H156" s="1">
        <v>100000</v>
      </c>
      <c r="I156" s="98">
        <f t="shared" ref="I156:I162" si="7">H156*2+20000</f>
        <v>220000</v>
      </c>
    </row>
    <row r="157" spans="1:10" ht="15" customHeight="1" x14ac:dyDescent="0.25">
      <c r="A157" t="s">
        <v>355</v>
      </c>
      <c r="B157" s="168" t="s">
        <v>356</v>
      </c>
      <c r="C157" s="1" t="s">
        <v>357</v>
      </c>
      <c r="D157" s="1">
        <v>117</v>
      </c>
      <c r="E157" s="1" t="s">
        <v>11</v>
      </c>
      <c r="F157" s="1"/>
      <c r="G157" s="1">
        <v>0</v>
      </c>
      <c r="H157" s="1">
        <v>96700</v>
      </c>
      <c r="I157" s="1">
        <f t="shared" si="7"/>
        <v>213400</v>
      </c>
    </row>
    <row r="158" spans="1:10" s="132" customFormat="1" ht="15" customHeight="1" x14ac:dyDescent="0.25">
      <c r="A158" t="s">
        <v>355</v>
      </c>
      <c r="B158" s="168" t="s">
        <v>420</v>
      </c>
      <c r="C158" s="1"/>
      <c r="D158" s="1"/>
      <c r="E158" s="1" t="s">
        <v>11</v>
      </c>
      <c r="F158" s="1" t="s">
        <v>204</v>
      </c>
      <c r="G158" s="1">
        <v>0</v>
      </c>
      <c r="H158" s="1">
        <v>33000</v>
      </c>
      <c r="I158" s="1">
        <f t="shared" si="7"/>
        <v>86000</v>
      </c>
      <c r="J158"/>
    </row>
    <row r="159" spans="1:10" ht="15" customHeight="1" x14ac:dyDescent="0.25">
      <c r="A159" t="s">
        <v>208</v>
      </c>
      <c r="B159" s="168" t="s">
        <v>209</v>
      </c>
      <c r="C159" s="1" t="s">
        <v>210</v>
      </c>
      <c r="E159" s="1" t="s">
        <v>11</v>
      </c>
      <c r="F159" s="1" t="s">
        <v>204</v>
      </c>
      <c r="G159" s="1">
        <v>0</v>
      </c>
      <c r="H159" s="1">
        <v>35700</v>
      </c>
      <c r="I159" s="98">
        <f t="shared" si="7"/>
        <v>91400</v>
      </c>
    </row>
    <row r="160" spans="1:10" ht="15" customHeight="1" x14ac:dyDescent="0.25">
      <c r="A160" s="135" t="s">
        <v>659</v>
      </c>
      <c r="B160" s="166" t="s">
        <v>660</v>
      </c>
      <c r="C160" s="136">
        <v>2017</v>
      </c>
      <c r="D160" s="136" t="s">
        <v>567</v>
      </c>
      <c r="E160" s="136" t="s">
        <v>11</v>
      </c>
      <c r="F160" s="135"/>
      <c r="G160" s="136">
        <v>1</v>
      </c>
      <c r="H160" s="137">
        <v>49000</v>
      </c>
      <c r="I160" s="137">
        <f t="shared" si="7"/>
        <v>118000</v>
      </c>
      <c r="J160" s="135"/>
    </row>
    <row r="161" spans="1:10" ht="15" customHeight="1" x14ac:dyDescent="0.25">
      <c r="A161" t="s">
        <v>396</v>
      </c>
      <c r="B161" s="168" t="s">
        <v>397</v>
      </c>
      <c r="C161" s="1" t="s">
        <v>40</v>
      </c>
      <c r="E161" s="1" t="s">
        <v>11</v>
      </c>
      <c r="G161" s="1">
        <v>0</v>
      </c>
      <c r="H161" s="98">
        <v>38000</v>
      </c>
      <c r="I161" s="98">
        <f t="shared" si="7"/>
        <v>96000</v>
      </c>
    </row>
    <row r="162" spans="1:10" ht="15" customHeight="1" x14ac:dyDescent="0.25">
      <c r="A162" s="135" t="s">
        <v>396</v>
      </c>
      <c r="B162" s="166" t="s">
        <v>551</v>
      </c>
      <c r="C162" s="136" t="s">
        <v>197</v>
      </c>
      <c r="D162" s="136" t="s">
        <v>1856</v>
      </c>
      <c r="E162" s="136" t="s">
        <v>11</v>
      </c>
      <c r="F162" s="135"/>
      <c r="G162" s="136">
        <v>1</v>
      </c>
      <c r="H162" s="136">
        <v>52000</v>
      </c>
      <c r="I162" s="137">
        <f t="shared" si="7"/>
        <v>124000</v>
      </c>
      <c r="J162" s="135"/>
    </row>
    <row r="163" spans="1:10" ht="15" customHeight="1" x14ac:dyDescent="0.25">
      <c r="A163" t="s">
        <v>553</v>
      </c>
      <c r="B163" s="168" t="s">
        <v>554</v>
      </c>
      <c r="C163" s="1" t="s">
        <v>57</v>
      </c>
      <c r="D163" s="1" t="s">
        <v>1615</v>
      </c>
      <c r="E163" s="1" t="s">
        <v>11</v>
      </c>
      <c r="G163" s="1">
        <v>0</v>
      </c>
    </row>
    <row r="164" spans="1:10" ht="15" customHeight="1" x14ac:dyDescent="0.25">
      <c r="A164" t="s">
        <v>49</v>
      </c>
      <c r="B164" s="168">
        <v>1046</v>
      </c>
      <c r="D164" s="1" t="s">
        <v>50</v>
      </c>
      <c r="E164" s="1" t="s">
        <v>11</v>
      </c>
      <c r="H164" s="98">
        <v>35000</v>
      </c>
      <c r="I164" s="98">
        <f t="shared" ref="I164:I174" si="8">H164*2+20000</f>
        <v>90000</v>
      </c>
    </row>
    <row r="165" spans="1:10" s="135" customFormat="1" ht="15" customHeight="1" x14ac:dyDescent="0.25">
      <c r="A165" t="s">
        <v>65</v>
      </c>
      <c r="B165" s="168" t="s">
        <v>66</v>
      </c>
      <c r="C165" s="1" t="s">
        <v>59</v>
      </c>
      <c r="D165" s="1"/>
      <c r="E165" s="1" t="s">
        <v>11</v>
      </c>
      <c r="F165"/>
      <c r="G165" s="1">
        <v>0</v>
      </c>
      <c r="H165" s="1">
        <v>43000</v>
      </c>
      <c r="I165" s="1">
        <f t="shared" si="8"/>
        <v>106000</v>
      </c>
      <c r="J165"/>
    </row>
    <row r="166" spans="1:10" ht="15" customHeight="1" x14ac:dyDescent="0.25">
      <c r="A166" t="s">
        <v>120</v>
      </c>
      <c r="B166" s="168" t="s">
        <v>121</v>
      </c>
      <c r="C166" s="1" t="s">
        <v>122</v>
      </c>
      <c r="E166" s="1" t="s">
        <v>11</v>
      </c>
      <c r="G166" s="1">
        <v>0</v>
      </c>
      <c r="H166" s="1">
        <v>71000</v>
      </c>
      <c r="I166" s="1">
        <f t="shared" si="8"/>
        <v>162000</v>
      </c>
    </row>
    <row r="167" spans="1:10" ht="15" customHeight="1" x14ac:dyDescent="0.25">
      <c r="A167" t="s">
        <v>120</v>
      </c>
      <c r="B167" s="168" t="s">
        <v>622</v>
      </c>
      <c r="C167" s="1" t="s">
        <v>57</v>
      </c>
      <c r="E167" s="1" t="s">
        <v>11</v>
      </c>
      <c r="G167" s="1">
        <v>0</v>
      </c>
      <c r="H167" s="1">
        <v>44000</v>
      </c>
      <c r="I167" s="1">
        <f t="shared" si="8"/>
        <v>108000</v>
      </c>
    </row>
    <row r="168" spans="1:10" s="135" customFormat="1" ht="15" customHeight="1" x14ac:dyDescent="0.25">
      <c r="A168" t="s">
        <v>18</v>
      </c>
      <c r="B168" s="168">
        <v>300</v>
      </c>
      <c r="C168" s="1" t="s">
        <v>19</v>
      </c>
      <c r="D168" s="1">
        <v>123</v>
      </c>
      <c r="E168" s="1" t="s">
        <v>11</v>
      </c>
      <c r="F168" t="s">
        <v>20</v>
      </c>
      <c r="G168" s="1">
        <v>0</v>
      </c>
      <c r="H168" s="1">
        <v>48000</v>
      </c>
      <c r="I168" s="1">
        <f t="shared" si="8"/>
        <v>116000</v>
      </c>
      <c r="J168" t="s">
        <v>21</v>
      </c>
    </row>
    <row r="169" spans="1:10" ht="15" customHeight="1" x14ac:dyDescent="0.25">
      <c r="A169" t="s">
        <v>18</v>
      </c>
      <c r="B169" s="168">
        <v>500</v>
      </c>
      <c r="C169" s="1" t="s">
        <v>17</v>
      </c>
      <c r="E169" s="1" t="s">
        <v>11</v>
      </c>
      <c r="F169" s="1" t="s">
        <v>41</v>
      </c>
      <c r="G169" s="1">
        <v>0</v>
      </c>
      <c r="H169" s="1">
        <v>47000</v>
      </c>
      <c r="I169" s="1">
        <f t="shared" si="8"/>
        <v>114000</v>
      </c>
    </row>
    <row r="170" spans="1:10" ht="15" customHeight="1" x14ac:dyDescent="0.25">
      <c r="A170" t="s">
        <v>159</v>
      </c>
      <c r="B170" s="168" t="s">
        <v>160</v>
      </c>
      <c r="C170" s="1" t="s">
        <v>125</v>
      </c>
      <c r="D170" s="1" t="s">
        <v>1635</v>
      </c>
      <c r="E170" s="1" t="s">
        <v>11</v>
      </c>
      <c r="G170" s="1">
        <v>0</v>
      </c>
      <c r="H170" s="98">
        <v>49000</v>
      </c>
      <c r="I170" s="98">
        <f t="shared" si="8"/>
        <v>118000</v>
      </c>
    </row>
    <row r="171" spans="1:10" ht="15" customHeight="1" x14ac:dyDescent="0.25">
      <c r="A171" s="135" t="s">
        <v>159</v>
      </c>
      <c r="B171" s="166" t="s">
        <v>160</v>
      </c>
      <c r="C171" s="136" t="s">
        <v>17</v>
      </c>
      <c r="D171" s="136" t="s">
        <v>1857</v>
      </c>
      <c r="E171" s="136" t="s">
        <v>11</v>
      </c>
      <c r="F171" s="135" t="s">
        <v>1590</v>
      </c>
      <c r="G171" s="136">
        <v>2</v>
      </c>
      <c r="H171" s="137">
        <v>45000</v>
      </c>
      <c r="I171" s="137">
        <f t="shared" si="8"/>
        <v>110000</v>
      </c>
      <c r="J171" s="135"/>
    </row>
    <row r="172" spans="1:10" ht="15" customHeight="1" x14ac:dyDescent="0.25">
      <c r="A172" s="135" t="s">
        <v>159</v>
      </c>
      <c r="B172" s="166" t="s">
        <v>160</v>
      </c>
      <c r="C172" s="136" t="s">
        <v>161</v>
      </c>
      <c r="D172" s="136" t="s">
        <v>1962</v>
      </c>
      <c r="E172" s="136" t="s">
        <v>11</v>
      </c>
      <c r="F172" s="135"/>
      <c r="G172" s="136">
        <v>1</v>
      </c>
      <c r="H172" s="137">
        <v>30000</v>
      </c>
      <c r="I172" s="137">
        <f t="shared" si="8"/>
        <v>80000</v>
      </c>
    </row>
    <row r="173" spans="1:10" ht="15" customHeight="1" x14ac:dyDescent="0.25">
      <c r="A173" s="135" t="s">
        <v>159</v>
      </c>
      <c r="B173" s="166" t="s">
        <v>160</v>
      </c>
      <c r="C173" s="136" t="s">
        <v>19</v>
      </c>
      <c r="D173" s="136" t="s">
        <v>133</v>
      </c>
      <c r="E173" s="136" t="s">
        <v>11</v>
      </c>
      <c r="F173" s="135"/>
      <c r="G173" s="136">
        <v>1</v>
      </c>
      <c r="H173" s="137">
        <v>54000</v>
      </c>
      <c r="I173" s="137">
        <f t="shared" si="8"/>
        <v>128000</v>
      </c>
      <c r="J173" s="135"/>
    </row>
    <row r="174" spans="1:10" ht="15" customHeight="1" x14ac:dyDescent="0.25">
      <c r="A174" s="135" t="s">
        <v>159</v>
      </c>
      <c r="B174" s="166" t="s">
        <v>1617</v>
      </c>
      <c r="C174" s="136" t="s">
        <v>162</v>
      </c>
      <c r="D174" s="136" t="s">
        <v>133</v>
      </c>
      <c r="E174" s="136" t="s">
        <v>11</v>
      </c>
      <c r="F174" s="136" t="s">
        <v>163</v>
      </c>
      <c r="G174" s="136">
        <v>1</v>
      </c>
      <c r="H174" s="136">
        <v>60000</v>
      </c>
      <c r="I174" s="136">
        <f t="shared" si="8"/>
        <v>140000</v>
      </c>
      <c r="J174" s="135"/>
    </row>
    <row r="175" spans="1:10" s="135" customFormat="1" ht="15" customHeight="1" x14ac:dyDescent="0.25">
      <c r="A175" t="s">
        <v>159</v>
      </c>
      <c r="B175" s="170" t="s">
        <v>389</v>
      </c>
      <c r="C175" s="1" t="s">
        <v>390</v>
      </c>
      <c r="D175" s="1" t="s">
        <v>391</v>
      </c>
      <c r="E175" s="1" t="s">
        <v>11</v>
      </c>
      <c r="F175"/>
      <c r="G175" s="1">
        <v>0</v>
      </c>
      <c r="H175" s="1"/>
      <c r="I175" s="2"/>
      <c r="J175"/>
    </row>
    <row r="176" spans="1:10" ht="15" customHeight="1" x14ac:dyDescent="0.25">
      <c r="A176" t="s">
        <v>159</v>
      </c>
      <c r="B176" s="168" t="s">
        <v>392</v>
      </c>
      <c r="C176" s="1" t="s">
        <v>498</v>
      </c>
      <c r="D176" s="1" t="s">
        <v>1856</v>
      </c>
      <c r="E176" s="1" t="s">
        <v>11</v>
      </c>
      <c r="G176" s="1">
        <v>0</v>
      </c>
      <c r="H176" s="98">
        <v>36000</v>
      </c>
      <c r="I176" s="98">
        <f t="shared" ref="I176:I183" si="9">H176*2+20000</f>
        <v>92000</v>
      </c>
    </row>
    <row r="177" spans="1:10" s="135" customFormat="1" ht="15" customHeight="1" x14ac:dyDescent="0.25">
      <c r="A177" t="s">
        <v>159</v>
      </c>
      <c r="B177" s="168" t="s">
        <v>392</v>
      </c>
      <c r="C177" s="1" t="s">
        <v>270</v>
      </c>
      <c r="D177" s="1"/>
      <c r="E177" s="1" t="s">
        <v>11</v>
      </c>
      <c r="F177"/>
      <c r="G177" s="1">
        <v>0</v>
      </c>
      <c r="H177" s="1">
        <v>56000</v>
      </c>
      <c r="I177" s="98">
        <f t="shared" si="9"/>
        <v>132000</v>
      </c>
      <c r="J177"/>
    </row>
    <row r="178" spans="1:10" ht="15" customHeight="1" x14ac:dyDescent="0.25">
      <c r="A178" t="s">
        <v>159</v>
      </c>
      <c r="B178" s="168" t="s">
        <v>394</v>
      </c>
      <c r="C178" s="1" t="s">
        <v>395</v>
      </c>
      <c r="E178" s="1" t="s">
        <v>11</v>
      </c>
      <c r="F178" t="s">
        <v>537</v>
      </c>
      <c r="H178" s="98">
        <v>40000</v>
      </c>
      <c r="I178" s="98">
        <f t="shared" si="9"/>
        <v>100000</v>
      </c>
    </row>
    <row r="179" spans="1:10" ht="15" customHeight="1" x14ac:dyDescent="0.25">
      <c r="A179" s="135" t="s">
        <v>159</v>
      </c>
      <c r="B179" s="166" t="s">
        <v>449</v>
      </c>
      <c r="C179" s="136" t="s">
        <v>28</v>
      </c>
      <c r="D179" s="136" t="s">
        <v>1865</v>
      </c>
      <c r="E179" s="136" t="s">
        <v>13</v>
      </c>
      <c r="F179" s="136" t="s">
        <v>1874</v>
      </c>
      <c r="G179" s="136">
        <v>1</v>
      </c>
      <c r="H179" s="136">
        <v>30000</v>
      </c>
      <c r="I179" s="137">
        <f t="shared" si="9"/>
        <v>80000</v>
      </c>
      <c r="J179" s="135"/>
    </row>
    <row r="180" spans="1:10" ht="15" customHeight="1" x14ac:dyDescent="0.25">
      <c r="A180" t="s">
        <v>159</v>
      </c>
      <c r="B180" s="168" t="s">
        <v>449</v>
      </c>
      <c r="C180" s="1" t="s">
        <v>338</v>
      </c>
      <c r="D180" s="1" t="s">
        <v>133</v>
      </c>
      <c r="E180" s="1" t="s">
        <v>11</v>
      </c>
      <c r="G180" s="1">
        <v>0</v>
      </c>
      <c r="H180" s="98">
        <v>49980</v>
      </c>
      <c r="I180" s="98">
        <f t="shared" si="9"/>
        <v>119960</v>
      </c>
    </row>
    <row r="181" spans="1:10" ht="15" customHeight="1" x14ac:dyDescent="0.25">
      <c r="A181" t="s">
        <v>159</v>
      </c>
      <c r="B181" s="168" t="s">
        <v>449</v>
      </c>
      <c r="C181" s="1" t="s">
        <v>450</v>
      </c>
      <c r="E181" s="1" t="s">
        <v>11</v>
      </c>
      <c r="G181" s="1">
        <v>0</v>
      </c>
      <c r="H181" s="1">
        <v>41000</v>
      </c>
      <c r="I181" s="98">
        <f t="shared" si="9"/>
        <v>102000</v>
      </c>
    </row>
    <row r="182" spans="1:10" s="135" customFormat="1" ht="15" customHeight="1" x14ac:dyDescent="0.25">
      <c r="A182" t="s">
        <v>159</v>
      </c>
      <c r="B182" s="168" t="s">
        <v>449</v>
      </c>
      <c r="C182" s="1" t="s">
        <v>451</v>
      </c>
      <c r="D182" s="1"/>
      <c r="E182" s="1" t="s">
        <v>11</v>
      </c>
      <c r="F182"/>
      <c r="G182" s="1">
        <v>0</v>
      </c>
      <c r="H182" s="1">
        <v>56000</v>
      </c>
      <c r="I182" s="1">
        <f t="shared" si="9"/>
        <v>132000</v>
      </c>
      <c r="J182"/>
    </row>
    <row r="183" spans="1:10" ht="15" customHeight="1" x14ac:dyDescent="0.25">
      <c r="A183" t="s">
        <v>159</v>
      </c>
      <c r="B183" s="168" t="s">
        <v>620</v>
      </c>
      <c r="C183" s="1" t="s">
        <v>182</v>
      </c>
      <c r="E183" s="1" t="s">
        <v>11</v>
      </c>
      <c r="G183" s="1">
        <v>0</v>
      </c>
      <c r="H183" s="1">
        <v>42000</v>
      </c>
      <c r="I183" s="1">
        <f t="shared" si="9"/>
        <v>104000</v>
      </c>
    </row>
    <row r="184" spans="1:10" ht="15" customHeight="1" x14ac:dyDescent="0.25">
      <c r="A184" s="135" t="s">
        <v>164</v>
      </c>
      <c r="B184" s="166" t="s">
        <v>165</v>
      </c>
      <c r="C184" s="136" t="s">
        <v>566</v>
      </c>
      <c r="D184" s="136" t="s">
        <v>353</v>
      </c>
      <c r="E184" s="136" t="s">
        <v>156</v>
      </c>
      <c r="F184" s="135"/>
      <c r="G184" s="136">
        <v>1</v>
      </c>
      <c r="H184" s="136"/>
      <c r="I184" s="144"/>
      <c r="J184" s="135"/>
    </row>
    <row r="185" spans="1:10" s="135" customFormat="1" ht="15" customHeight="1" x14ac:dyDescent="0.25">
      <c r="A185" t="s">
        <v>144</v>
      </c>
      <c r="B185" s="168" t="s">
        <v>145</v>
      </c>
      <c r="C185" s="1" t="s">
        <v>146</v>
      </c>
      <c r="D185" s="1" t="s">
        <v>380</v>
      </c>
      <c r="E185" s="1" t="s">
        <v>11</v>
      </c>
      <c r="F185"/>
      <c r="G185" s="1">
        <v>0</v>
      </c>
      <c r="H185" s="98">
        <v>38000</v>
      </c>
      <c r="I185" s="98">
        <f t="shared" ref="I185:I193" si="10">H185*2+20000</f>
        <v>96000</v>
      </c>
      <c r="J185"/>
    </row>
    <row r="186" spans="1:10" ht="15" customHeight="1" x14ac:dyDescent="0.25">
      <c r="A186" s="135" t="s">
        <v>144</v>
      </c>
      <c r="B186" s="166" t="s">
        <v>145</v>
      </c>
      <c r="C186" s="136" t="s">
        <v>147</v>
      </c>
      <c r="D186" s="136" t="s">
        <v>1947</v>
      </c>
      <c r="E186" s="136" t="s">
        <v>11</v>
      </c>
      <c r="F186" s="135"/>
      <c r="G186" s="136">
        <v>1</v>
      </c>
      <c r="H186" s="136">
        <v>42000</v>
      </c>
      <c r="I186" s="137">
        <f t="shared" si="10"/>
        <v>104000</v>
      </c>
      <c r="J186" s="135"/>
    </row>
    <row r="187" spans="1:10" ht="15" customHeight="1" x14ac:dyDescent="0.25">
      <c r="A187" s="135" t="s">
        <v>144</v>
      </c>
      <c r="B187" s="166" t="s">
        <v>148</v>
      </c>
      <c r="C187" s="136" t="s">
        <v>149</v>
      </c>
      <c r="D187" s="136" t="s">
        <v>1873</v>
      </c>
      <c r="E187" s="136" t="s">
        <v>13</v>
      </c>
      <c r="F187" s="135" t="s">
        <v>150</v>
      </c>
      <c r="G187" s="136">
        <v>4</v>
      </c>
      <c r="H187" s="137">
        <v>38000</v>
      </c>
      <c r="I187" s="137">
        <f t="shared" si="10"/>
        <v>96000</v>
      </c>
      <c r="J187" s="135"/>
    </row>
    <row r="188" spans="1:10" ht="15" customHeight="1" x14ac:dyDescent="0.25">
      <c r="A188" s="135" t="s">
        <v>144</v>
      </c>
      <c r="B188" s="166" t="s">
        <v>154</v>
      </c>
      <c r="C188" s="136" t="s">
        <v>149</v>
      </c>
      <c r="D188" s="136" t="s">
        <v>2056</v>
      </c>
      <c r="E188" s="136" t="s">
        <v>13</v>
      </c>
      <c r="F188" s="136" t="s">
        <v>155</v>
      </c>
      <c r="G188" s="136">
        <v>2</v>
      </c>
      <c r="H188" s="136">
        <v>30000</v>
      </c>
      <c r="I188" s="137">
        <f t="shared" si="10"/>
        <v>80000</v>
      </c>
      <c r="J188" s="135"/>
    </row>
    <row r="189" spans="1:10" ht="15" customHeight="1" x14ac:dyDescent="0.25">
      <c r="A189" s="135" t="s">
        <v>144</v>
      </c>
      <c r="B189" s="166" t="s">
        <v>157</v>
      </c>
      <c r="C189" s="136" t="s">
        <v>1319</v>
      </c>
      <c r="D189" s="136" t="s">
        <v>407</v>
      </c>
      <c r="E189" s="136" t="s">
        <v>158</v>
      </c>
      <c r="F189" s="135"/>
      <c r="G189" s="136">
        <v>0</v>
      </c>
      <c r="H189" s="137">
        <v>42000</v>
      </c>
      <c r="I189" s="137">
        <f t="shared" si="10"/>
        <v>104000</v>
      </c>
      <c r="J189" s="135"/>
    </row>
    <row r="190" spans="1:10" ht="15" customHeight="1" x14ac:dyDescent="0.25">
      <c r="A190" s="135" t="s">
        <v>144</v>
      </c>
      <c r="B190" s="166" t="s">
        <v>230</v>
      </c>
      <c r="C190" s="136" t="s">
        <v>146</v>
      </c>
      <c r="D190" s="136" t="s">
        <v>1093</v>
      </c>
      <c r="E190" s="136" t="s">
        <v>11</v>
      </c>
      <c r="F190" s="135"/>
      <c r="G190" s="136">
        <v>2</v>
      </c>
      <c r="H190" s="137">
        <v>33000</v>
      </c>
      <c r="I190" s="137">
        <f t="shared" si="10"/>
        <v>86000</v>
      </c>
      <c r="J190" s="135"/>
    </row>
    <row r="191" spans="1:10" ht="15" customHeight="1" x14ac:dyDescent="0.25">
      <c r="A191" s="135" t="s">
        <v>144</v>
      </c>
      <c r="B191" s="166" t="s">
        <v>232</v>
      </c>
      <c r="C191" s="136" t="s">
        <v>233</v>
      </c>
      <c r="D191" s="136" t="s">
        <v>1093</v>
      </c>
      <c r="E191" s="136" t="s">
        <v>11</v>
      </c>
      <c r="F191" s="135"/>
      <c r="G191" s="136">
        <v>1</v>
      </c>
      <c r="H191" s="137">
        <v>40000</v>
      </c>
      <c r="I191" s="137">
        <f t="shared" si="10"/>
        <v>100000</v>
      </c>
      <c r="J191" s="135"/>
    </row>
    <row r="192" spans="1:10" ht="15" customHeight="1" x14ac:dyDescent="0.25">
      <c r="A192" t="s">
        <v>144</v>
      </c>
      <c r="B192" s="168" t="s">
        <v>445</v>
      </c>
      <c r="C192" s="1" t="s">
        <v>377</v>
      </c>
      <c r="E192" s="1" t="s">
        <v>11</v>
      </c>
      <c r="G192" s="1">
        <v>0</v>
      </c>
      <c r="H192" s="1">
        <v>65000</v>
      </c>
      <c r="I192" s="98">
        <f t="shared" si="10"/>
        <v>150000</v>
      </c>
    </row>
    <row r="193" spans="1:10" s="135" customFormat="1" ht="19.5" customHeight="1" x14ac:dyDescent="0.25">
      <c r="A193" s="135" t="s">
        <v>144</v>
      </c>
      <c r="B193" s="166" t="s">
        <v>446</v>
      </c>
      <c r="C193" s="136" t="s">
        <v>377</v>
      </c>
      <c r="D193" s="136" t="s">
        <v>442</v>
      </c>
      <c r="E193" s="136" t="s">
        <v>13</v>
      </c>
      <c r="G193" s="136">
        <v>1</v>
      </c>
      <c r="H193" s="137">
        <v>47000</v>
      </c>
      <c r="I193" s="137">
        <f t="shared" si="10"/>
        <v>114000</v>
      </c>
    </row>
    <row r="194" spans="1:10" ht="15" customHeight="1" x14ac:dyDescent="0.25">
      <c r="A194" t="s">
        <v>144</v>
      </c>
      <c r="B194" s="168" t="s">
        <v>490</v>
      </c>
      <c r="I194" s="1"/>
    </row>
    <row r="195" spans="1:10" s="135" customFormat="1" ht="15" customHeight="1" x14ac:dyDescent="0.25">
      <c r="A195" s="135" t="s">
        <v>144</v>
      </c>
      <c r="B195" s="166" t="s">
        <v>541</v>
      </c>
      <c r="C195" s="136" t="s">
        <v>153</v>
      </c>
      <c r="D195" s="136" t="s">
        <v>2018</v>
      </c>
      <c r="E195" s="136" t="s">
        <v>11</v>
      </c>
      <c r="G195" s="136">
        <v>1</v>
      </c>
      <c r="H195" s="137">
        <v>50000</v>
      </c>
      <c r="I195" s="137">
        <f t="shared" ref="I195:I200" si="11">H195*2+20000</f>
        <v>120000</v>
      </c>
    </row>
    <row r="196" spans="1:10" s="135" customFormat="1" ht="15" customHeight="1" x14ac:dyDescent="0.25">
      <c r="A196" s="135" t="s">
        <v>144</v>
      </c>
      <c r="B196" s="166" t="s">
        <v>541</v>
      </c>
      <c r="C196" s="136" t="s">
        <v>310</v>
      </c>
      <c r="D196" s="136" t="s">
        <v>319</v>
      </c>
      <c r="E196" s="136" t="s">
        <v>11</v>
      </c>
      <c r="G196" s="136">
        <v>1</v>
      </c>
      <c r="H196" s="137">
        <v>44000</v>
      </c>
      <c r="I196" s="137">
        <f t="shared" si="11"/>
        <v>108000</v>
      </c>
    </row>
    <row r="197" spans="1:10" ht="18.75" customHeight="1" x14ac:dyDescent="0.25">
      <c r="A197" s="135" t="s">
        <v>144</v>
      </c>
      <c r="B197" s="166" t="s">
        <v>541</v>
      </c>
      <c r="C197" s="136" t="s">
        <v>1706</v>
      </c>
      <c r="D197" s="136" t="s">
        <v>319</v>
      </c>
      <c r="E197" s="136" t="s">
        <v>11</v>
      </c>
      <c r="F197" s="135"/>
      <c r="G197" s="136">
        <v>1</v>
      </c>
      <c r="H197" s="137">
        <v>45000</v>
      </c>
      <c r="I197" s="137">
        <f t="shared" si="11"/>
        <v>110000</v>
      </c>
      <c r="J197" s="135"/>
    </row>
    <row r="198" spans="1:10" ht="15" customHeight="1" x14ac:dyDescent="0.25">
      <c r="A198" s="135" t="s">
        <v>144</v>
      </c>
      <c r="B198" s="166" t="s">
        <v>541</v>
      </c>
      <c r="C198" s="136">
        <v>2007</v>
      </c>
      <c r="D198" s="136" t="s">
        <v>1860</v>
      </c>
      <c r="E198" s="136" t="s">
        <v>13</v>
      </c>
      <c r="F198" s="135"/>
      <c r="G198" s="136">
        <v>1</v>
      </c>
      <c r="H198" s="137">
        <v>30000</v>
      </c>
      <c r="I198" s="137">
        <f t="shared" si="11"/>
        <v>80000</v>
      </c>
      <c r="J198" s="135"/>
    </row>
    <row r="199" spans="1:10" s="135" customFormat="1" ht="22.5" customHeight="1" x14ac:dyDescent="0.25">
      <c r="A199" s="135" t="s">
        <v>144</v>
      </c>
      <c r="B199" s="166" t="s">
        <v>541</v>
      </c>
      <c r="C199" s="136" t="s">
        <v>393</v>
      </c>
      <c r="D199" s="136" t="s">
        <v>1610</v>
      </c>
      <c r="E199" s="136" t="s">
        <v>13</v>
      </c>
      <c r="F199" s="135" t="s">
        <v>250</v>
      </c>
      <c r="G199" s="136">
        <v>1</v>
      </c>
      <c r="H199" s="137">
        <v>30000</v>
      </c>
      <c r="I199" s="137">
        <f t="shared" si="11"/>
        <v>80000</v>
      </c>
    </row>
    <row r="200" spans="1:10" ht="15" customHeight="1" x14ac:dyDescent="0.25">
      <c r="A200" t="s">
        <v>144</v>
      </c>
      <c r="B200" s="168" t="s">
        <v>541</v>
      </c>
      <c r="C200" s="1" t="s">
        <v>543</v>
      </c>
      <c r="E200" s="1" t="s">
        <v>13</v>
      </c>
      <c r="G200" s="1">
        <v>0</v>
      </c>
      <c r="H200" s="1">
        <v>30000</v>
      </c>
      <c r="I200" s="98">
        <f t="shared" si="11"/>
        <v>80000</v>
      </c>
    </row>
    <row r="201" spans="1:10" ht="15" customHeight="1" x14ac:dyDescent="0.25">
      <c r="A201" t="s">
        <v>144</v>
      </c>
      <c r="B201" s="168" t="s">
        <v>541</v>
      </c>
      <c r="C201" s="1" t="s">
        <v>544</v>
      </c>
      <c r="D201" s="1" t="s">
        <v>227</v>
      </c>
      <c r="E201" s="1" t="s">
        <v>13</v>
      </c>
      <c r="G201" s="1">
        <v>0</v>
      </c>
    </row>
    <row r="202" spans="1:10" ht="15" customHeight="1" x14ac:dyDescent="0.25">
      <c r="A202" t="s">
        <v>144</v>
      </c>
      <c r="B202" s="168" t="s">
        <v>545</v>
      </c>
      <c r="C202" s="1">
        <v>2001</v>
      </c>
      <c r="D202" s="1">
        <v>103</v>
      </c>
      <c r="E202" s="1" t="s">
        <v>11</v>
      </c>
      <c r="F202" s="1" t="s">
        <v>537</v>
      </c>
      <c r="G202" s="1">
        <v>0</v>
      </c>
      <c r="H202" s="98">
        <v>35000</v>
      </c>
      <c r="I202" s="98">
        <f t="shared" ref="I202:I209" si="12">H202*2+20000</f>
        <v>90000</v>
      </c>
    </row>
    <row r="203" spans="1:10" ht="15" customHeight="1" x14ac:dyDescent="0.25">
      <c r="A203" t="s">
        <v>144</v>
      </c>
      <c r="B203" s="168" t="s">
        <v>546</v>
      </c>
      <c r="C203" s="1" t="s">
        <v>547</v>
      </c>
      <c r="D203" s="1">
        <v>103</v>
      </c>
      <c r="E203" s="1" t="s">
        <v>11</v>
      </c>
      <c r="G203" s="1">
        <v>0</v>
      </c>
      <c r="H203" s="98">
        <v>35000</v>
      </c>
      <c r="I203" s="98">
        <f t="shared" si="12"/>
        <v>90000</v>
      </c>
    </row>
    <row r="204" spans="1:10" ht="15" customHeight="1" x14ac:dyDescent="0.25">
      <c r="A204" t="s">
        <v>144</v>
      </c>
      <c r="B204" s="168" t="s">
        <v>555</v>
      </c>
      <c r="C204" s="1" t="s">
        <v>94</v>
      </c>
      <c r="E204" s="1" t="s">
        <v>11</v>
      </c>
      <c r="G204" s="1">
        <v>0</v>
      </c>
      <c r="H204" s="98">
        <v>51000</v>
      </c>
      <c r="I204" s="98">
        <f t="shared" si="12"/>
        <v>122000</v>
      </c>
    </row>
    <row r="205" spans="1:10" ht="15" customHeight="1" x14ac:dyDescent="0.25">
      <c r="A205" s="135" t="s">
        <v>144</v>
      </c>
      <c r="B205" s="166" t="s">
        <v>584</v>
      </c>
      <c r="C205" s="136" t="s">
        <v>585</v>
      </c>
      <c r="D205" s="136" t="s">
        <v>1982</v>
      </c>
      <c r="E205" s="136" t="s">
        <v>13</v>
      </c>
      <c r="F205" s="135"/>
      <c r="G205" s="136">
        <v>5</v>
      </c>
      <c r="H205" s="137">
        <v>25000</v>
      </c>
      <c r="I205" s="137">
        <f t="shared" si="12"/>
        <v>70000</v>
      </c>
      <c r="J205" s="135"/>
    </row>
    <row r="206" spans="1:10" ht="15" customHeight="1" x14ac:dyDescent="0.25">
      <c r="A206" t="s">
        <v>144</v>
      </c>
      <c r="B206" s="168" t="s">
        <v>654</v>
      </c>
      <c r="C206" s="1" t="s">
        <v>214</v>
      </c>
      <c r="D206" s="1" t="s">
        <v>327</v>
      </c>
      <c r="E206" s="1" t="s">
        <v>11</v>
      </c>
      <c r="G206" s="1">
        <v>0</v>
      </c>
      <c r="H206" s="1">
        <v>33000</v>
      </c>
      <c r="I206" s="98">
        <f t="shared" si="12"/>
        <v>86000</v>
      </c>
    </row>
    <row r="207" spans="1:10" ht="15" customHeight="1" x14ac:dyDescent="0.25">
      <c r="A207" t="s">
        <v>144</v>
      </c>
      <c r="B207" s="168" t="s">
        <v>655</v>
      </c>
      <c r="C207" s="1" t="s">
        <v>10</v>
      </c>
      <c r="D207" s="1" t="s">
        <v>333</v>
      </c>
      <c r="E207" s="1" t="s">
        <v>11</v>
      </c>
      <c r="G207" s="1">
        <v>0</v>
      </c>
      <c r="H207" s="98">
        <v>50000</v>
      </c>
      <c r="I207" s="98">
        <f t="shared" si="12"/>
        <v>120000</v>
      </c>
    </row>
    <row r="208" spans="1:10" ht="15" customHeight="1" x14ac:dyDescent="0.25">
      <c r="A208" s="135" t="s">
        <v>144</v>
      </c>
      <c r="B208" s="166" t="s">
        <v>655</v>
      </c>
      <c r="C208" s="136"/>
      <c r="D208" s="136" t="s">
        <v>2060</v>
      </c>
      <c r="E208" s="136" t="s">
        <v>13</v>
      </c>
      <c r="F208" s="136" t="s">
        <v>656</v>
      </c>
      <c r="G208" s="136">
        <v>1</v>
      </c>
      <c r="H208" s="136">
        <v>30000</v>
      </c>
      <c r="I208" s="137">
        <f t="shared" si="12"/>
        <v>80000</v>
      </c>
      <c r="J208" s="135"/>
    </row>
    <row r="209" spans="1:10" ht="15" customHeight="1" x14ac:dyDescent="0.25">
      <c r="A209" s="135" t="s">
        <v>151</v>
      </c>
      <c r="B209" s="166" t="s">
        <v>152</v>
      </c>
      <c r="C209" s="136" t="s">
        <v>153</v>
      </c>
      <c r="D209" s="136" t="s">
        <v>267</v>
      </c>
      <c r="E209" s="136" t="s">
        <v>11</v>
      </c>
      <c r="F209" s="135"/>
      <c r="G209" s="136">
        <v>1</v>
      </c>
      <c r="H209" s="137">
        <v>44000</v>
      </c>
      <c r="I209" s="137">
        <f t="shared" si="12"/>
        <v>108000</v>
      </c>
      <c r="J209" s="135"/>
    </row>
    <row r="210" spans="1:10" s="135" customFormat="1" x14ac:dyDescent="0.25">
      <c r="A210" t="s">
        <v>71</v>
      </c>
      <c r="B210" s="168" t="s">
        <v>72</v>
      </c>
      <c r="C210" s="1"/>
      <c r="D210" s="1">
        <v>113</v>
      </c>
      <c r="E210" s="1"/>
      <c r="F210"/>
      <c r="G210" s="1">
        <v>3</v>
      </c>
      <c r="H210" s="98"/>
      <c r="I210" s="98"/>
      <c r="J210"/>
    </row>
    <row r="211" spans="1:10" s="135" customFormat="1" x14ac:dyDescent="0.25">
      <c r="A211" t="s">
        <v>548</v>
      </c>
      <c r="B211" s="168" t="s">
        <v>549</v>
      </c>
      <c r="C211" s="1" t="s">
        <v>550</v>
      </c>
      <c r="D211" s="1">
        <v>116</v>
      </c>
      <c r="E211" s="1" t="s">
        <v>11</v>
      </c>
      <c r="F211"/>
      <c r="G211" s="1">
        <v>0</v>
      </c>
      <c r="H211" s="98"/>
      <c r="I211" s="98"/>
      <c r="J211"/>
    </row>
    <row r="212" spans="1:10" ht="15" customHeight="1" x14ac:dyDescent="0.25">
      <c r="A212" t="s">
        <v>578</v>
      </c>
      <c r="B212" s="168" t="s">
        <v>579</v>
      </c>
      <c r="C212" s="1" t="s">
        <v>19</v>
      </c>
      <c r="D212" s="1" t="s">
        <v>1974</v>
      </c>
      <c r="E212" s="1" t="s">
        <v>11</v>
      </c>
      <c r="G212" s="1">
        <v>1</v>
      </c>
      <c r="H212" s="98">
        <v>55000</v>
      </c>
      <c r="I212" s="98">
        <f>H212*2+20000</f>
        <v>130000</v>
      </c>
    </row>
    <row r="213" spans="1:10" ht="15" customHeight="1" x14ac:dyDescent="0.25">
      <c r="A213" t="s">
        <v>578</v>
      </c>
      <c r="B213" s="168" t="s">
        <v>580</v>
      </c>
      <c r="C213" s="1" t="s">
        <v>581</v>
      </c>
      <c r="D213" s="1" t="s">
        <v>1974</v>
      </c>
      <c r="E213" s="1" t="s">
        <v>11</v>
      </c>
      <c r="G213" s="1">
        <v>1</v>
      </c>
      <c r="H213" s="98">
        <v>55000</v>
      </c>
      <c r="I213" s="98">
        <f>H213*2+20000</f>
        <v>130000</v>
      </c>
    </row>
    <row r="214" spans="1:10" s="135" customFormat="1" ht="15" customHeight="1" x14ac:dyDescent="0.25">
      <c r="A214" t="s">
        <v>578</v>
      </c>
      <c r="B214" s="168" t="s">
        <v>582</v>
      </c>
      <c r="C214" s="1" t="s">
        <v>243</v>
      </c>
      <c r="D214" s="1"/>
      <c r="E214" s="1" t="s">
        <v>11</v>
      </c>
      <c r="F214"/>
      <c r="G214" s="1"/>
      <c r="H214" s="98">
        <v>55000</v>
      </c>
      <c r="I214" s="98">
        <f>H214*2+20000</f>
        <v>130000</v>
      </c>
      <c r="J214"/>
    </row>
    <row r="215" spans="1:10" ht="15" customHeight="1" x14ac:dyDescent="0.25">
      <c r="A215" t="s">
        <v>476</v>
      </c>
      <c r="B215" s="168" t="s">
        <v>477</v>
      </c>
      <c r="C215" s="1" t="s">
        <v>478</v>
      </c>
      <c r="H215" s="98"/>
      <c r="I215" s="98"/>
    </row>
    <row r="216" spans="1:10" ht="15" customHeight="1" x14ac:dyDescent="0.25">
      <c r="A216" t="s">
        <v>476</v>
      </c>
      <c r="B216" s="168" t="s">
        <v>583</v>
      </c>
      <c r="C216" s="1" t="s">
        <v>581</v>
      </c>
      <c r="D216" s="1">
        <v>98</v>
      </c>
      <c r="E216" s="1" t="s">
        <v>11</v>
      </c>
      <c r="G216" s="1">
        <v>0</v>
      </c>
      <c r="H216" s="1">
        <v>72000</v>
      </c>
      <c r="I216" s="1"/>
    </row>
    <row r="217" spans="1:10" s="135" customFormat="1" ht="15" customHeight="1" x14ac:dyDescent="0.25">
      <c r="A217" t="s">
        <v>311</v>
      </c>
      <c r="B217" s="168" t="s">
        <v>312</v>
      </c>
      <c r="C217" s="1">
        <v>1993</v>
      </c>
      <c r="D217" s="1">
        <v>103</v>
      </c>
      <c r="E217" s="1" t="s">
        <v>11</v>
      </c>
      <c r="F217"/>
      <c r="G217" s="1"/>
      <c r="H217" s="98">
        <v>45000</v>
      </c>
      <c r="I217" s="98">
        <f t="shared" ref="I217:I223" si="13">H217*2+20000</f>
        <v>110000</v>
      </c>
      <c r="J217"/>
    </row>
    <row r="218" spans="1:10" ht="15" customHeight="1" x14ac:dyDescent="0.25">
      <c r="A218" t="s">
        <v>55</v>
      </c>
      <c r="B218" s="168" t="s">
        <v>56</v>
      </c>
      <c r="C218" s="1" t="s">
        <v>57</v>
      </c>
      <c r="E218" s="1" t="s">
        <v>11</v>
      </c>
      <c r="G218" s="1">
        <v>0</v>
      </c>
      <c r="H218" s="1">
        <v>53000</v>
      </c>
      <c r="I218" s="1">
        <f t="shared" si="13"/>
        <v>126000</v>
      </c>
    </row>
    <row r="219" spans="1:10" ht="15" customHeight="1" x14ac:dyDescent="0.25">
      <c r="A219" s="135" t="s">
        <v>422</v>
      </c>
      <c r="B219" s="171" t="s">
        <v>423</v>
      </c>
      <c r="C219" s="136" t="s">
        <v>141</v>
      </c>
      <c r="D219" s="136" t="s">
        <v>407</v>
      </c>
      <c r="E219" s="136" t="s">
        <v>11</v>
      </c>
      <c r="F219" s="135"/>
      <c r="G219" s="136">
        <v>1</v>
      </c>
      <c r="H219" s="137">
        <v>56000</v>
      </c>
      <c r="I219" s="137">
        <f t="shared" si="13"/>
        <v>132000</v>
      </c>
      <c r="J219" s="135"/>
    </row>
    <row r="220" spans="1:10" ht="15" customHeight="1" x14ac:dyDescent="0.25">
      <c r="A220" s="135" t="s">
        <v>378</v>
      </c>
      <c r="B220" s="171" t="s">
        <v>379</v>
      </c>
      <c r="C220" s="136" t="s">
        <v>338</v>
      </c>
      <c r="D220" s="136" t="s">
        <v>2039</v>
      </c>
      <c r="E220" s="136" t="s">
        <v>381</v>
      </c>
      <c r="F220" s="135"/>
      <c r="G220" s="136">
        <v>1</v>
      </c>
      <c r="H220" s="136">
        <v>64000</v>
      </c>
      <c r="I220" s="137">
        <f t="shared" si="13"/>
        <v>148000</v>
      </c>
      <c r="J220" s="135"/>
    </row>
    <row r="221" spans="1:10" s="135" customFormat="1" ht="15" customHeight="1" x14ac:dyDescent="0.25">
      <c r="A221" s="135" t="s">
        <v>378</v>
      </c>
      <c r="B221" s="171" t="s">
        <v>379</v>
      </c>
      <c r="C221" s="136" t="s">
        <v>382</v>
      </c>
      <c r="D221" s="136" t="s">
        <v>369</v>
      </c>
      <c r="E221" s="136" t="s">
        <v>381</v>
      </c>
      <c r="F221" s="135" t="s">
        <v>383</v>
      </c>
      <c r="G221" s="136">
        <v>1</v>
      </c>
      <c r="H221" s="136">
        <v>43000</v>
      </c>
      <c r="I221" s="137">
        <f t="shared" si="13"/>
        <v>106000</v>
      </c>
    </row>
    <row r="222" spans="1:10" ht="15" customHeight="1" x14ac:dyDescent="0.25">
      <c r="A222" t="s">
        <v>73</v>
      </c>
      <c r="B222" s="168" t="s">
        <v>74</v>
      </c>
      <c r="E222" s="1" t="s">
        <v>11</v>
      </c>
      <c r="G222" s="1">
        <v>0</v>
      </c>
      <c r="H222" s="98">
        <v>41000</v>
      </c>
      <c r="I222" s="98">
        <f t="shared" si="13"/>
        <v>102000</v>
      </c>
    </row>
    <row r="223" spans="1:10" ht="15" customHeight="1" x14ac:dyDescent="0.25">
      <c r="A223" t="s">
        <v>354</v>
      </c>
      <c r="B223" s="168" t="s">
        <v>425</v>
      </c>
      <c r="E223" s="1" t="s">
        <v>11</v>
      </c>
      <c r="G223" s="1">
        <v>0</v>
      </c>
      <c r="H223" s="98">
        <v>40000</v>
      </c>
      <c r="I223" s="98">
        <f t="shared" si="13"/>
        <v>100000</v>
      </c>
    </row>
    <row r="224" spans="1:10" s="135" customFormat="1" ht="15" customHeight="1" x14ac:dyDescent="0.25">
      <c r="A224" s="135" t="s">
        <v>47</v>
      </c>
      <c r="B224" s="166">
        <v>1042</v>
      </c>
      <c r="C224" s="136"/>
      <c r="D224" s="136" t="s">
        <v>675</v>
      </c>
      <c r="E224" s="136" t="s">
        <v>11</v>
      </c>
      <c r="F224" s="136" t="s">
        <v>48</v>
      </c>
      <c r="G224" s="136">
        <v>1</v>
      </c>
      <c r="H224" s="136"/>
      <c r="I224" s="136"/>
    </row>
    <row r="225" spans="1:10" ht="15" customHeight="1" x14ac:dyDescent="0.25">
      <c r="A225" t="s">
        <v>241</v>
      </c>
      <c r="B225" s="168" t="s">
        <v>242</v>
      </c>
      <c r="C225" s="1" t="s">
        <v>243</v>
      </c>
      <c r="E225" s="1" t="s">
        <v>11</v>
      </c>
      <c r="G225" s="1">
        <v>1</v>
      </c>
      <c r="H225" s="1">
        <v>32000</v>
      </c>
      <c r="I225" s="98">
        <f t="shared" ref="I225:I244" si="14">H225*2+20000</f>
        <v>84000</v>
      </c>
    </row>
    <row r="226" spans="1:10" ht="15" customHeight="1" x14ac:dyDescent="0.25">
      <c r="A226" s="135" t="s">
        <v>241</v>
      </c>
      <c r="B226" s="166" t="s">
        <v>244</v>
      </c>
      <c r="C226" s="136" t="s">
        <v>243</v>
      </c>
      <c r="D226" s="136" t="s">
        <v>682</v>
      </c>
      <c r="E226" s="136" t="s">
        <v>11</v>
      </c>
      <c r="F226" s="135"/>
      <c r="G226" s="136">
        <v>2</v>
      </c>
      <c r="H226" s="137">
        <v>38000</v>
      </c>
      <c r="I226" s="137">
        <f t="shared" si="14"/>
        <v>96000</v>
      </c>
      <c r="J226" s="135"/>
    </row>
    <row r="227" spans="1:10" ht="15" customHeight="1" x14ac:dyDescent="0.25">
      <c r="A227" t="s">
        <v>241</v>
      </c>
      <c r="B227" s="168" t="s">
        <v>269</v>
      </c>
      <c r="C227" s="1" t="s">
        <v>37</v>
      </c>
      <c r="D227" s="1" t="s">
        <v>559</v>
      </c>
      <c r="E227" s="1" t="s">
        <v>11</v>
      </c>
      <c r="G227" s="1">
        <v>0</v>
      </c>
      <c r="H227" s="98">
        <v>40000</v>
      </c>
      <c r="I227" s="98">
        <f t="shared" si="14"/>
        <v>100000</v>
      </c>
    </row>
    <row r="228" spans="1:10" ht="15" customHeight="1" x14ac:dyDescent="0.25">
      <c r="A228" s="135" t="s">
        <v>241</v>
      </c>
      <c r="B228" s="166" t="s">
        <v>269</v>
      </c>
      <c r="C228" s="136" t="s">
        <v>270</v>
      </c>
      <c r="D228" s="136" t="s">
        <v>1991</v>
      </c>
      <c r="E228" s="136" t="s">
        <v>13</v>
      </c>
      <c r="F228" s="135"/>
      <c r="G228" s="136">
        <v>10</v>
      </c>
      <c r="H228" s="137">
        <v>20000</v>
      </c>
      <c r="I228" s="137">
        <f t="shared" si="14"/>
        <v>60000</v>
      </c>
      <c r="J228" s="135"/>
    </row>
    <row r="229" spans="1:10" s="135" customFormat="1" ht="15" customHeight="1" x14ac:dyDescent="0.25">
      <c r="A229" s="135" t="s">
        <v>241</v>
      </c>
      <c r="B229" s="166" t="s">
        <v>269</v>
      </c>
      <c r="C229" s="136" t="s">
        <v>466</v>
      </c>
      <c r="D229" s="136" t="s">
        <v>32</v>
      </c>
      <c r="E229" s="136" t="s">
        <v>13</v>
      </c>
      <c r="G229" s="136">
        <v>1</v>
      </c>
      <c r="H229" s="137">
        <v>26000</v>
      </c>
      <c r="I229" s="137">
        <f t="shared" si="14"/>
        <v>72000</v>
      </c>
    </row>
    <row r="230" spans="1:10" s="135" customFormat="1" ht="15" customHeight="1" x14ac:dyDescent="0.25">
      <c r="A230" t="s">
        <v>241</v>
      </c>
      <c r="B230" s="168" t="s">
        <v>269</v>
      </c>
      <c r="C230" s="1" t="s">
        <v>125</v>
      </c>
      <c r="D230" s="1"/>
      <c r="E230" s="1" t="s">
        <v>11</v>
      </c>
      <c r="F230" t="s">
        <v>271</v>
      </c>
      <c r="G230" s="1"/>
      <c r="H230" s="98">
        <v>29000</v>
      </c>
      <c r="I230" s="98">
        <f t="shared" si="14"/>
        <v>78000</v>
      </c>
      <c r="J230"/>
    </row>
    <row r="231" spans="1:10" s="135" customFormat="1" ht="15" customHeight="1" x14ac:dyDescent="0.25">
      <c r="A231" s="135" t="s">
        <v>241</v>
      </c>
      <c r="B231" s="166" t="s">
        <v>283</v>
      </c>
      <c r="C231" s="136" t="s">
        <v>10</v>
      </c>
      <c r="D231" s="136" t="s">
        <v>2022</v>
      </c>
      <c r="E231" s="136" t="s">
        <v>11</v>
      </c>
      <c r="G231" s="136">
        <v>0</v>
      </c>
      <c r="H231" s="137">
        <v>37000</v>
      </c>
      <c r="I231" s="137">
        <f t="shared" si="14"/>
        <v>94000</v>
      </c>
    </row>
    <row r="232" spans="1:10" ht="15" customHeight="1" x14ac:dyDescent="0.25">
      <c r="A232" t="s">
        <v>241</v>
      </c>
      <c r="B232" s="168" t="s">
        <v>337</v>
      </c>
      <c r="C232" s="1" t="s">
        <v>19</v>
      </c>
      <c r="D232" s="1" t="s">
        <v>32</v>
      </c>
      <c r="E232" s="1" t="s">
        <v>11</v>
      </c>
      <c r="G232" s="1">
        <v>0</v>
      </c>
      <c r="H232" s="98">
        <v>68000</v>
      </c>
      <c r="I232" s="98">
        <f t="shared" si="14"/>
        <v>156000</v>
      </c>
    </row>
    <row r="233" spans="1:10" ht="15" customHeight="1" x14ac:dyDescent="0.25">
      <c r="A233" s="135" t="s">
        <v>241</v>
      </c>
      <c r="B233" s="166" t="s">
        <v>337</v>
      </c>
      <c r="C233" s="136" t="s">
        <v>338</v>
      </c>
      <c r="D233" s="136" t="s">
        <v>240</v>
      </c>
      <c r="E233" s="136" t="s">
        <v>11</v>
      </c>
      <c r="F233" s="135"/>
      <c r="G233" s="136">
        <v>0</v>
      </c>
      <c r="H233" s="136">
        <v>54000</v>
      </c>
      <c r="I233" s="137">
        <f t="shared" si="14"/>
        <v>128000</v>
      </c>
      <c r="J233" s="135"/>
    </row>
    <row r="234" spans="1:10" ht="15" customHeight="1" x14ac:dyDescent="0.25">
      <c r="A234" t="s">
        <v>241</v>
      </c>
      <c r="B234" s="168" t="s">
        <v>346</v>
      </c>
      <c r="C234" s="1" t="s">
        <v>345</v>
      </c>
      <c r="E234" s="1" t="s">
        <v>11</v>
      </c>
      <c r="G234" s="1">
        <v>0</v>
      </c>
      <c r="H234" s="1">
        <v>55000</v>
      </c>
      <c r="I234" s="98">
        <f t="shared" si="14"/>
        <v>130000</v>
      </c>
    </row>
    <row r="235" spans="1:10" ht="15" customHeight="1" x14ac:dyDescent="0.25">
      <c r="A235" t="s">
        <v>241</v>
      </c>
      <c r="B235" s="168" t="s">
        <v>347</v>
      </c>
      <c r="C235" s="1" t="s">
        <v>344</v>
      </c>
      <c r="E235" s="1" t="s">
        <v>11</v>
      </c>
      <c r="G235" s="1">
        <v>0</v>
      </c>
      <c r="H235" s="98">
        <v>78000</v>
      </c>
      <c r="I235" s="98">
        <f t="shared" si="14"/>
        <v>176000</v>
      </c>
    </row>
    <row r="236" spans="1:10" ht="15" customHeight="1" x14ac:dyDescent="0.25">
      <c r="A236" s="135" t="s">
        <v>241</v>
      </c>
      <c r="B236" s="166" t="s">
        <v>364</v>
      </c>
      <c r="C236" s="136" t="s">
        <v>365</v>
      </c>
      <c r="D236" s="136" t="s">
        <v>138</v>
      </c>
      <c r="E236" s="136" t="s">
        <v>11</v>
      </c>
      <c r="F236" s="135"/>
      <c r="G236" s="136">
        <v>1</v>
      </c>
      <c r="H236" s="137">
        <v>47000</v>
      </c>
      <c r="I236" s="137">
        <f t="shared" si="14"/>
        <v>114000</v>
      </c>
    </row>
    <row r="237" spans="1:10" s="135" customFormat="1" ht="15" customHeight="1" x14ac:dyDescent="0.25">
      <c r="A237" t="s">
        <v>241</v>
      </c>
      <c r="B237" s="168" t="s">
        <v>364</v>
      </c>
      <c r="C237" s="1" t="s">
        <v>116</v>
      </c>
      <c r="D237" s="1" t="s">
        <v>138</v>
      </c>
      <c r="E237" s="1" t="s">
        <v>11</v>
      </c>
      <c r="F237"/>
      <c r="G237" s="1">
        <v>0</v>
      </c>
      <c r="H237" s="1">
        <v>50000</v>
      </c>
      <c r="I237" s="98">
        <f t="shared" si="14"/>
        <v>120000</v>
      </c>
      <c r="J237"/>
    </row>
    <row r="238" spans="1:10" ht="15" customHeight="1" x14ac:dyDescent="0.25">
      <c r="A238" s="135" t="s">
        <v>241</v>
      </c>
      <c r="B238" s="166" t="s">
        <v>364</v>
      </c>
      <c r="C238" s="136">
        <v>2006</v>
      </c>
      <c r="D238" s="136" t="s">
        <v>1860</v>
      </c>
      <c r="E238" s="136" t="s">
        <v>13</v>
      </c>
      <c r="F238" s="135"/>
      <c r="G238" s="136">
        <v>4</v>
      </c>
      <c r="H238" s="137">
        <v>25000</v>
      </c>
      <c r="I238" s="137">
        <f t="shared" si="14"/>
        <v>70000</v>
      </c>
      <c r="J238" s="135"/>
    </row>
    <row r="239" spans="1:10" s="135" customFormat="1" ht="15" customHeight="1" x14ac:dyDescent="0.25">
      <c r="A239" t="s">
        <v>241</v>
      </c>
      <c r="B239" s="168" t="s">
        <v>364</v>
      </c>
      <c r="C239" s="1" t="s">
        <v>328</v>
      </c>
      <c r="D239" s="1"/>
      <c r="E239" s="1" t="s">
        <v>11</v>
      </c>
      <c r="F239"/>
      <c r="G239" s="1">
        <v>0</v>
      </c>
      <c r="H239" s="1">
        <v>81000</v>
      </c>
      <c r="I239" s="98">
        <f t="shared" si="14"/>
        <v>182000</v>
      </c>
      <c r="J239"/>
    </row>
    <row r="240" spans="1:10" ht="15" customHeight="1" x14ac:dyDescent="0.25">
      <c r="A240" t="s">
        <v>241</v>
      </c>
      <c r="B240" s="168" t="s">
        <v>366</v>
      </c>
      <c r="C240" s="1" t="s">
        <v>57</v>
      </c>
      <c r="E240" s="1" t="s">
        <v>11</v>
      </c>
      <c r="G240" s="1">
        <v>0</v>
      </c>
      <c r="H240" s="1">
        <v>53000</v>
      </c>
      <c r="I240" s="1">
        <f t="shared" si="14"/>
        <v>126000</v>
      </c>
    </row>
    <row r="241" spans="1:10" ht="15" customHeight="1" x14ac:dyDescent="0.25">
      <c r="A241" t="s">
        <v>241</v>
      </c>
      <c r="B241" s="168" t="s">
        <v>367</v>
      </c>
      <c r="C241" s="1" t="s">
        <v>368</v>
      </c>
      <c r="D241" s="1" t="s">
        <v>38</v>
      </c>
      <c r="E241" s="1" t="s">
        <v>11</v>
      </c>
      <c r="G241" s="1">
        <v>0</v>
      </c>
      <c r="H241" s="1">
        <v>60000</v>
      </c>
      <c r="I241" s="1">
        <f t="shared" si="14"/>
        <v>140000</v>
      </c>
    </row>
    <row r="242" spans="1:10" ht="15" customHeight="1" x14ac:dyDescent="0.25">
      <c r="A242" t="s">
        <v>241</v>
      </c>
      <c r="B242" s="168" t="s">
        <v>613</v>
      </c>
      <c r="C242" s="1">
        <v>1995</v>
      </c>
      <c r="E242" s="1" t="s">
        <v>13</v>
      </c>
      <c r="H242" s="98">
        <v>30000</v>
      </c>
      <c r="I242" s="98">
        <f t="shared" si="14"/>
        <v>80000</v>
      </c>
    </row>
    <row r="243" spans="1:10" ht="15" customHeight="1" x14ac:dyDescent="0.25">
      <c r="A243" s="135" t="s">
        <v>241</v>
      </c>
      <c r="B243" s="166" t="s">
        <v>643</v>
      </c>
      <c r="C243" s="136" t="s">
        <v>644</v>
      </c>
      <c r="D243" s="136" t="s">
        <v>675</v>
      </c>
      <c r="E243" s="136" t="s">
        <v>11</v>
      </c>
      <c r="F243" s="135"/>
      <c r="G243" s="136">
        <v>1</v>
      </c>
      <c r="H243" s="137">
        <v>41000</v>
      </c>
      <c r="I243" s="137">
        <f t="shared" si="14"/>
        <v>102000</v>
      </c>
      <c r="J243" s="135"/>
    </row>
    <row r="244" spans="1:10" s="135" customFormat="1" ht="15" customHeight="1" x14ac:dyDescent="0.25">
      <c r="A244" t="s">
        <v>88</v>
      </c>
      <c r="B244" s="168" t="s">
        <v>89</v>
      </c>
      <c r="C244" s="1">
        <v>1986</v>
      </c>
      <c r="D244" s="1"/>
      <c r="E244" s="1" t="s">
        <v>11</v>
      </c>
      <c r="F244"/>
      <c r="G244" s="1">
        <v>0</v>
      </c>
      <c r="H244" s="1">
        <v>47000</v>
      </c>
      <c r="I244" s="1">
        <f t="shared" si="14"/>
        <v>114000</v>
      </c>
      <c r="J244"/>
    </row>
    <row r="245" spans="1:10" ht="15" customHeight="1" x14ac:dyDescent="0.25">
      <c r="A245" t="s">
        <v>638</v>
      </c>
      <c r="B245" s="168" t="s">
        <v>639</v>
      </c>
      <c r="C245" s="1" t="s">
        <v>287</v>
      </c>
      <c r="D245" s="1" t="s">
        <v>274</v>
      </c>
      <c r="E245" s="1" t="s">
        <v>11</v>
      </c>
      <c r="G245" s="1">
        <v>0</v>
      </c>
      <c r="I245" s="1"/>
    </row>
    <row r="246" spans="1:10" s="135" customFormat="1" ht="15" customHeight="1" x14ac:dyDescent="0.25">
      <c r="A246" t="s">
        <v>638</v>
      </c>
      <c r="B246" s="168" t="s">
        <v>640</v>
      </c>
      <c r="C246" s="1" t="s">
        <v>17</v>
      </c>
      <c r="D246" s="1"/>
      <c r="E246" s="1" t="s">
        <v>11</v>
      </c>
      <c r="F246" s="1" t="s">
        <v>642</v>
      </c>
      <c r="G246" s="1"/>
      <c r="H246" s="1">
        <v>102000</v>
      </c>
      <c r="I246" s="1">
        <f>H246*2+20000</f>
        <v>224000</v>
      </c>
      <c r="J246"/>
    </row>
    <row r="247" spans="1:10" ht="15" customHeight="1" x14ac:dyDescent="0.25">
      <c r="A247" t="s">
        <v>998</v>
      </c>
      <c r="B247" s="168" t="s">
        <v>999</v>
      </c>
      <c r="C247" s="1" t="s">
        <v>1000</v>
      </c>
      <c r="E247" s="1" t="s">
        <v>11</v>
      </c>
      <c r="G247" s="1">
        <v>0</v>
      </c>
      <c r="H247" s="1">
        <v>79000</v>
      </c>
      <c r="I247" s="1">
        <f>H247*2+20000</f>
        <v>178000</v>
      </c>
    </row>
    <row r="248" spans="1:10" s="135" customFormat="1" ht="15" customHeight="1" x14ac:dyDescent="0.25">
      <c r="A248" t="s">
        <v>42</v>
      </c>
      <c r="B248" s="168">
        <v>520</v>
      </c>
      <c r="C248" s="1" t="s">
        <v>17</v>
      </c>
      <c r="D248" s="1"/>
      <c r="E248" s="1" t="s">
        <v>11</v>
      </c>
      <c r="F248"/>
      <c r="G248" s="1">
        <v>0</v>
      </c>
      <c r="H248" s="98">
        <v>38000</v>
      </c>
      <c r="I248" s="98">
        <f>H248*2+20000</f>
        <v>96000</v>
      </c>
      <c r="J248"/>
    </row>
    <row r="249" spans="1:10" s="135" customFormat="1" ht="15" customHeight="1" x14ac:dyDescent="0.25">
      <c r="A249" s="135" t="s">
        <v>107</v>
      </c>
      <c r="B249" s="166" t="s">
        <v>1566</v>
      </c>
      <c r="C249" s="136" t="s">
        <v>108</v>
      </c>
      <c r="D249" s="136" t="s">
        <v>1044</v>
      </c>
      <c r="E249" s="136" t="s">
        <v>11</v>
      </c>
      <c r="F249" s="136" t="s">
        <v>875</v>
      </c>
      <c r="G249" s="136">
        <v>1</v>
      </c>
      <c r="H249" s="136">
        <v>44000</v>
      </c>
      <c r="I249" s="136">
        <f>H249*2+20000</f>
        <v>108000</v>
      </c>
    </row>
    <row r="250" spans="1:10" ht="15" customHeight="1" x14ac:dyDescent="0.25">
      <c r="A250" t="s">
        <v>117</v>
      </c>
      <c r="B250" s="168" t="s">
        <v>118</v>
      </c>
      <c r="D250" s="1">
        <v>112</v>
      </c>
      <c r="E250" s="1" t="s">
        <v>11</v>
      </c>
      <c r="H250" s="98"/>
      <c r="I250" s="98"/>
    </row>
    <row r="251" spans="1:10" ht="15" customHeight="1" x14ac:dyDescent="0.25">
      <c r="A251" s="135" t="s">
        <v>30</v>
      </c>
      <c r="B251" s="166">
        <v>323</v>
      </c>
      <c r="C251" s="136" t="s">
        <v>1565</v>
      </c>
      <c r="D251" s="136" t="s">
        <v>1044</v>
      </c>
      <c r="E251" s="136" t="s">
        <v>11</v>
      </c>
      <c r="F251" s="136" t="s">
        <v>875</v>
      </c>
      <c r="G251" s="136">
        <v>1</v>
      </c>
      <c r="H251" s="136">
        <v>38000</v>
      </c>
      <c r="I251" s="136">
        <f t="shared" ref="I251:I256" si="15">H251*2+20000</f>
        <v>96000</v>
      </c>
      <c r="J251" s="135"/>
    </row>
    <row r="252" spans="1:10" ht="15" customHeight="1" x14ac:dyDescent="0.25">
      <c r="A252" s="135" t="s">
        <v>30</v>
      </c>
      <c r="B252" s="166">
        <v>323</v>
      </c>
      <c r="C252" s="136" t="s">
        <v>34</v>
      </c>
      <c r="D252" s="136" t="s">
        <v>1882</v>
      </c>
      <c r="E252" s="136" t="s">
        <v>13</v>
      </c>
      <c r="F252" s="135"/>
      <c r="G252" s="136">
        <v>1</v>
      </c>
      <c r="H252" s="137">
        <v>35000</v>
      </c>
      <c r="I252" s="137">
        <f t="shared" si="15"/>
        <v>90000</v>
      </c>
      <c r="J252" s="135"/>
    </row>
    <row r="253" spans="1:10" ht="15" customHeight="1" x14ac:dyDescent="0.25">
      <c r="A253" t="s">
        <v>30</v>
      </c>
      <c r="B253" s="168">
        <v>626</v>
      </c>
      <c r="C253" s="1" t="s">
        <v>43</v>
      </c>
      <c r="E253" s="1" t="s">
        <v>13</v>
      </c>
      <c r="H253" s="98">
        <v>30000</v>
      </c>
      <c r="I253" s="98">
        <f t="shared" si="15"/>
        <v>80000</v>
      </c>
    </row>
    <row r="254" spans="1:10" ht="15" customHeight="1" x14ac:dyDescent="0.25">
      <c r="A254" s="135" t="s">
        <v>30</v>
      </c>
      <c r="B254" s="166">
        <v>626</v>
      </c>
      <c r="C254" s="136" t="s">
        <v>44</v>
      </c>
      <c r="D254" s="136" t="s">
        <v>2060</v>
      </c>
      <c r="E254" s="136" t="s">
        <v>13</v>
      </c>
      <c r="F254" s="135"/>
      <c r="G254" s="136">
        <v>2</v>
      </c>
      <c r="H254" s="137">
        <v>30000</v>
      </c>
      <c r="I254" s="137">
        <f t="shared" si="15"/>
        <v>80000</v>
      </c>
      <c r="J254" s="135"/>
    </row>
    <row r="255" spans="1:10" ht="15" customHeight="1" x14ac:dyDescent="0.25">
      <c r="A255" s="135" t="s">
        <v>30</v>
      </c>
      <c r="B255" s="166" t="s">
        <v>1564</v>
      </c>
      <c r="C255" s="136" t="s">
        <v>31</v>
      </c>
      <c r="D255" s="136" t="s">
        <v>1044</v>
      </c>
      <c r="E255" s="136" t="s">
        <v>11</v>
      </c>
      <c r="F255" s="135" t="s">
        <v>215</v>
      </c>
      <c r="G255" s="136">
        <v>2</v>
      </c>
      <c r="H255" s="137">
        <v>40000</v>
      </c>
      <c r="I255" s="137">
        <f t="shared" si="15"/>
        <v>100000</v>
      </c>
      <c r="J255" s="135"/>
    </row>
    <row r="256" spans="1:10" s="135" customFormat="1" ht="15" customHeight="1" x14ac:dyDescent="0.25">
      <c r="A256" s="135" t="s">
        <v>30</v>
      </c>
      <c r="B256" s="166" t="s">
        <v>109</v>
      </c>
      <c r="C256" s="136" t="s">
        <v>110</v>
      </c>
      <c r="D256" s="136" t="s">
        <v>1044</v>
      </c>
      <c r="E256" s="136" t="s">
        <v>11</v>
      </c>
      <c r="F256" s="136"/>
      <c r="G256" s="136">
        <v>2</v>
      </c>
      <c r="H256" s="137">
        <v>38000</v>
      </c>
      <c r="I256" s="137">
        <f t="shared" si="15"/>
        <v>96000</v>
      </c>
    </row>
    <row r="257" spans="1:12" ht="15" customHeight="1" x14ac:dyDescent="0.25">
      <c r="A257" t="s">
        <v>30</v>
      </c>
      <c r="B257" s="168" t="s">
        <v>281</v>
      </c>
      <c r="C257" s="1" t="s">
        <v>807</v>
      </c>
      <c r="D257" s="1" t="s">
        <v>1943</v>
      </c>
      <c r="E257" s="1" t="s">
        <v>11</v>
      </c>
      <c r="F257" s="1" t="s">
        <v>48</v>
      </c>
      <c r="G257" s="1">
        <v>3</v>
      </c>
      <c r="H257" s="1" t="s">
        <v>282</v>
      </c>
      <c r="I257" s="98"/>
    </row>
    <row r="258" spans="1:12" ht="15" customHeight="1" x14ac:dyDescent="0.25">
      <c r="A258" s="135" t="s">
        <v>30</v>
      </c>
      <c r="B258" s="166" t="s">
        <v>462</v>
      </c>
      <c r="C258" s="136" t="s">
        <v>377</v>
      </c>
      <c r="D258" s="136" t="s">
        <v>267</v>
      </c>
      <c r="E258" s="136" t="s">
        <v>11</v>
      </c>
      <c r="F258" s="135"/>
      <c r="G258" s="136">
        <v>1</v>
      </c>
      <c r="H258" s="136">
        <v>59000</v>
      </c>
      <c r="I258" s="136">
        <f>H258*2+20000</f>
        <v>138000</v>
      </c>
      <c r="J258" s="135"/>
    </row>
    <row r="259" spans="1:12" ht="15" customHeight="1" x14ac:dyDescent="0.25">
      <c r="A259" s="135" t="s">
        <v>30</v>
      </c>
      <c r="B259" s="166" t="s">
        <v>463</v>
      </c>
      <c r="C259" s="136" t="s">
        <v>19</v>
      </c>
      <c r="D259" s="136" t="s">
        <v>329</v>
      </c>
      <c r="E259" s="136" t="s">
        <v>13</v>
      </c>
      <c r="F259" s="135" t="s">
        <v>1839</v>
      </c>
      <c r="G259" s="136">
        <v>2</v>
      </c>
      <c r="H259" s="137">
        <v>68000</v>
      </c>
      <c r="I259" s="137">
        <f>H259*2+20000</f>
        <v>156000</v>
      </c>
      <c r="J259" s="135"/>
    </row>
    <row r="260" spans="1:12" ht="15" customHeight="1" x14ac:dyDescent="0.25">
      <c r="A260" t="s">
        <v>30</v>
      </c>
      <c r="B260" s="168" t="s">
        <v>463</v>
      </c>
      <c r="C260" s="1" t="s">
        <v>54</v>
      </c>
      <c r="D260" s="1" t="s">
        <v>267</v>
      </c>
      <c r="E260" s="1" t="s">
        <v>11</v>
      </c>
      <c r="F260" s="1" t="s">
        <v>1634</v>
      </c>
      <c r="G260" s="1">
        <v>0</v>
      </c>
      <c r="H260" s="98">
        <v>65000</v>
      </c>
      <c r="I260" s="98">
        <f>H260*2+20000</f>
        <v>150000</v>
      </c>
    </row>
    <row r="261" spans="1:12" ht="15" customHeight="1" x14ac:dyDescent="0.25">
      <c r="A261" t="s">
        <v>30</v>
      </c>
      <c r="B261" s="168" t="s">
        <v>459</v>
      </c>
      <c r="C261" s="1" t="s">
        <v>460</v>
      </c>
      <c r="E261" s="1" t="s">
        <v>11</v>
      </c>
      <c r="G261" s="1">
        <v>0</v>
      </c>
      <c r="H261" s="98">
        <v>63000</v>
      </c>
      <c r="I261" s="98">
        <f>H261*2+20000</f>
        <v>146000</v>
      </c>
      <c r="L261" s="123"/>
    </row>
    <row r="262" spans="1:12" ht="15" customHeight="1" x14ac:dyDescent="0.25">
      <c r="A262" t="s">
        <v>30</v>
      </c>
      <c r="B262" s="168" t="s">
        <v>465</v>
      </c>
      <c r="C262" s="1" t="s">
        <v>424</v>
      </c>
      <c r="E262" s="1" t="s">
        <v>11</v>
      </c>
      <c r="G262" s="1">
        <v>0</v>
      </c>
      <c r="H262" s="1">
        <v>72000</v>
      </c>
      <c r="I262" s="98">
        <f>H262*2+20000</f>
        <v>164000</v>
      </c>
    </row>
    <row r="263" spans="1:12" s="135" customFormat="1" ht="15" customHeight="1" x14ac:dyDescent="0.25">
      <c r="A263" t="s">
        <v>45</v>
      </c>
      <c r="B263" s="168">
        <v>929</v>
      </c>
      <c r="C263" s="1"/>
      <c r="D263" s="1">
        <v>102</v>
      </c>
      <c r="E263" s="1" t="s">
        <v>11</v>
      </c>
      <c r="F263" t="s">
        <v>46</v>
      </c>
      <c r="G263" s="98"/>
      <c r="H263" s="1"/>
      <c r="I263" s="2"/>
      <c r="J263"/>
    </row>
    <row r="264" spans="1:12" ht="15" customHeight="1" x14ac:dyDescent="0.25">
      <c r="A264" t="s">
        <v>45</v>
      </c>
      <c r="B264" s="168" t="s">
        <v>461</v>
      </c>
      <c r="C264" s="1" t="s">
        <v>40</v>
      </c>
      <c r="D264" s="1" t="s">
        <v>227</v>
      </c>
      <c r="E264" s="1" t="s">
        <v>11</v>
      </c>
      <c r="G264" s="1">
        <v>0</v>
      </c>
      <c r="H264" s="1">
        <v>71000</v>
      </c>
      <c r="I264" s="1">
        <f t="shared" ref="I264:I274" si="16">H264*2+20000</f>
        <v>162000</v>
      </c>
    </row>
    <row r="265" spans="1:12" ht="15" customHeight="1" x14ac:dyDescent="0.25">
      <c r="A265" t="s">
        <v>172</v>
      </c>
      <c r="B265" s="168" t="s">
        <v>173</v>
      </c>
      <c r="C265" s="1" t="s">
        <v>29</v>
      </c>
      <c r="D265" s="1">
        <v>121</v>
      </c>
      <c r="E265" s="1" t="s">
        <v>11</v>
      </c>
      <c r="H265" s="1">
        <v>98000</v>
      </c>
      <c r="I265" s="1">
        <f t="shared" si="16"/>
        <v>216000</v>
      </c>
    </row>
    <row r="266" spans="1:12" ht="15" customHeight="1" x14ac:dyDescent="0.25">
      <c r="A266" s="135" t="s">
        <v>172</v>
      </c>
      <c r="B266" s="166" t="s">
        <v>256</v>
      </c>
      <c r="C266" s="136" t="s">
        <v>257</v>
      </c>
      <c r="D266" s="136" t="s">
        <v>240</v>
      </c>
      <c r="E266" s="136" t="s">
        <v>11</v>
      </c>
      <c r="F266" s="135"/>
      <c r="G266" s="136">
        <v>1</v>
      </c>
      <c r="H266" s="137">
        <v>66000</v>
      </c>
      <c r="I266" s="137">
        <f t="shared" si="16"/>
        <v>152000</v>
      </c>
      <c r="J266" s="135"/>
    </row>
    <row r="267" spans="1:12" ht="15" customHeight="1" x14ac:dyDescent="0.25">
      <c r="A267" t="s">
        <v>167</v>
      </c>
      <c r="B267" s="168" t="s">
        <v>168</v>
      </c>
      <c r="C267" s="1" t="s">
        <v>169</v>
      </c>
      <c r="D267" s="1">
        <v>118</v>
      </c>
      <c r="E267" s="1" t="s">
        <v>11</v>
      </c>
      <c r="H267" s="1">
        <v>113000</v>
      </c>
      <c r="I267" s="1">
        <f t="shared" si="16"/>
        <v>246000</v>
      </c>
    </row>
    <row r="268" spans="1:12" ht="15" customHeight="1" x14ac:dyDescent="0.25">
      <c r="A268" t="s">
        <v>90</v>
      </c>
      <c r="B268" s="168" t="s">
        <v>91</v>
      </c>
      <c r="E268" s="1" t="s">
        <v>11</v>
      </c>
      <c r="G268" s="1">
        <v>0</v>
      </c>
      <c r="H268" s="1">
        <v>68000</v>
      </c>
      <c r="I268" s="1">
        <f t="shared" si="16"/>
        <v>156000</v>
      </c>
    </row>
    <row r="269" spans="1:12" ht="15" customHeight="1" x14ac:dyDescent="0.25">
      <c r="A269" t="s">
        <v>90</v>
      </c>
      <c r="B269" s="168" t="s">
        <v>524</v>
      </c>
      <c r="C269" s="1" t="s">
        <v>57</v>
      </c>
      <c r="E269" s="1" t="s">
        <v>11</v>
      </c>
      <c r="G269" s="1">
        <v>0</v>
      </c>
      <c r="H269" s="1">
        <v>119000</v>
      </c>
      <c r="I269" s="1">
        <f t="shared" si="16"/>
        <v>258000</v>
      </c>
    </row>
    <row r="270" spans="1:12" ht="15" customHeight="1" x14ac:dyDescent="0.25">
      <c r="A270" t="s">
        <v>294</v>
      </c>
      <c r="B270" s="168" t="s">
        <v>295</v>
      </c>
      <c r="C270" s="1" t="s">
        <v>296</v>
      </c>
      <c r="E270" s="1" t="s">
        <v>11</v>
      </c>
      <c r="H270" s="1">
        <v>61000</v>
      </c>
      <c r="I270" s="1">
        <f t="shared" si="16"/>
        <v>142000</v>
      </c>
    </row>
    <row r="271" spans="1:12" ht="15" customHeight="1" x14ac:dyDescent="0.25">
      <c r="A271" t="s">
        <v>170</v>
      </c>
      <c r="B271" s="168" t="s">
        <v>171</v>
      </c>
      <c r="C271" s="1" t="s">
        <v>103</v>
      </c>
      <c r="D271" s="1" t="s">
        <v>1905</v>
      </c>
      <c r="E271" s="1" t="s">
        <v>11</v>
      </c>
      <c r="F271" s="1" t="s">
        <v>1906</v>
      </c>
      <c r="H271" s="118">
        <v>120000</v>
      </c>
      <c r="I271" s="119">
        <f t="shared" si="16"/>
        <v>260000</v>
      </c>
    </row>
    <row r="272" spans="1:12" ht="15" customHeight="1" x14ac:dyDescent="0.25">
      <c r="A272" t="s">
        <v>170</v>
      </c>
      <c r="B272" s="168" t="s">
        <v>228</v>
      </c>
      <c r="C272" s="1">
        <v>1998</v>
      </c>
      <c r="D272" s="1">
        <v>93</v>
      </c>
      <c r="E272" s="1" t="s">
        <v>11</v>
      </c>
      <c r="G272" s="1">
        <v>0</v>
      </c>
      <c r="H272" s="98">
        <v>62000</v>
      </c>
      <c r="I272" s="98">
        <f t="shared" si="16"/>
        <v>144000</v>
      </c>
    </row>
    <row r="273" spans="1:10" ht="15" customHeight="1" x14ac:dyDescent="0.25">
      <c r="A273" t="s">
        <v>647</v>
      </c>
      <c r="B273" s="168" t="s">
        <v>648</v>
      </c>
      <c r="C273" s="1" t="s">
        <v>94</v>
      </c>
      <c r="E273" s="1" t="s">
        <v>11</v>
      </c>
      <c r="G273" s="1">
        <v>0</v>
      </c>
      <c r="H273" s="1">
        <v>61000</v>
      </c>
      <c r="I273" s="1">
        <f t="shared" si="16"/>
        <v>142000</v>
      </c>
    </row>
    <row r="274" spans="1:10" x14ac:dyDescent="0.25">
      <c r="A274" t="s">
        <v>225</v>
      </c>
      <c r="B274" s="168" t="s">
        <v>226</v>
      </c>
      <c r="C274" s="1" t="s">
        <v>94</v>
      </c>
      <c r="D274" s="1" t="s">
        <v>227</v>
      </c>
      <c r="E274" s="1" t="s">
        <v>11</v>
      </c>
      <c r="F274" s="1" t="s">
        <v>101</v>
      </c>
      <c r="G274" s="1">
        <v>0</v>
      </c>
      <c r="H274" s="98">
        <v>72000</v>
      </c>
      <c r="I274" s="98">
        <f t="shared" si="16"/>
        <v>164000</v>
      </c>
    </row>
    <row r="275" spans="1:10" x14ac:dyDescent="0.25">
      <c r="A275" t="s">
        <v>225</v>
      </c>
      <c r="B275" s="168" t="s">
        <v>320</v>
      </c>
      <c r="C275" s="1">
        <v>1993</v>
      </c>
      <c r="D275" s="1" t="s">
        <v>321</v>
      </c>
      <c r="E275" s="1" t="s">
        <v>11</v>
      </c>
      <c r="G275" s="1">
        <v>0</v>
      </c>
      <c r="H275" s="98"/>
      <c r="I275" s="98"/>
    </row>
    <row r="276" spans="1:10" x14ac:dyDescent="0.25">
      <c r="A276" t="s">
        <v>225</v>
      </c>
      <c r="B276" s="168" t="s">
        <v>320</v>
      </c>
      <c r="C276" s="1">
        <v>2001</v>
      </c>
      <c r="D276" s="1" t="s">
        <v>322</v>
      </c>
      <c r="E276" s="1" t="s">
        <v>11</v>
      </c>
      <c r="G276" s="1">
        <v>0</v>
      </c>
      <c r="H276" s="98">
        <v>45000</v>
      </c>
      <c r="I276" s="98">
        <f t="shared" ref="I276:I284" si="17">H276*2+20000</f>
        <v>110000</v>
      </c>
    </row>
    <row r="277" spans="1:10" x14ac:dyDescent="0.25">
      <c r="A277" t="s">
        <v>225</v>
      </c>
      <c r="B277" s="168" t="s">
        <v>418</v>
      </c>
      <c r="C277" s="1" t="s">
        <v>419</v>
      </c>
      <c r="E277" s="1" t="s">
        <v>11</v>
      </c>
      <c r="G277" s="1">
        <v>0</v>
      </c>
      <c r="H277" s="1">
        <v>46000</v>
      </c>
      <c r="I277" s="98">
        <f t="shared" si="17"/>
        <v>112000</v>
      </c>
    </row>
    <row r="278" spans="1:10" s="135" customFormat="1" x14ac:dyDescent="0.25">
      <c r="A278" t="s">
        <v>225</v>
      </c>
      <c r="B278" s="168" t="s">
        <v>535</v>
      </c>
      <c r="C278" s="1">
        <v>2018</v>
      </c>
      <c r="D278" s="1"/>
      <c r="E278" s="1" t="s">
        <v>11</v>
      </c>
      <c r="F278"/>
      <c r="G278" s="1">
        <v>0</v>
      </c>
      <c r="H278" s="1">
        <v>78000</v>
      </c>
      <c r="I278" s="1">
        <f t="shared" si="17"/>
        <v>176000</v>
      </c>
      <c r="J278"/>
    </row>
    <row r="279" spans="1:10" x14ac:dyDescent="0.25">
      <c r="A279" s="135" t="s">
        <v>225</v>
      </c>
      <c r="B279" s="166" t="s">
        <v>651</v>
      </c>
      <c r="C279" s="136" t="s">
        <v>652</v>
      </c>
      <c r="D279" s="136" t="s">
        <v>315</v>
      </c>
      <c r="E279" s="136" t="s">
        <v>13</v>
      </c>
      <c r="F279" s="135"/>
      <c r="G279" s="136">
        <v>1</v>
      </c>
      <c r="H279" s="137">
        <v>25000</v>
      </c>
      <c r="I279" s="137">
        <f t="shared" si="17"/>
        <v>70000</v>
      </c>
      <c r="J279" s="135"/>
    </row>
    <row r="280" spans="1:10" x14ac:dyDescent="0.25">
      <c r="A280" t="s">
        <v>323</v>
      </c>
      <c r="B280" s="168" t="s">
        <v>324</v>
      </c>
      <c r="C280" s="1" t="s">
        <v>33</v>
      </c>
      <c r="E280" s="1" t="s">
        <v>11</v>
      </c>
      <c r="G280" s="1">
        <v>0</v>
      </c>
      <c r="H280" s="1">
        <v>34000</v>
      </c>
      <c r="I280" s="1">
        <f t="shared" si="17"/>
        <v>88000</v>
      </c>
    </row>
    <row r="281" spans="1:10" x14ac:dyDescent="0.25">
      <c r="A281" t="s">
        <v>403</v>
      </c>
      <c r="B281" s="168" t="s">
        <v>404</v>
      </c>
      <c r="D281" s="1" t="s">
        <v>1974</v>
      </c>
      <c r="E281" s="1" t="s">
        <v>11</v>
      </c>
      <c r="G281" s="1">
        <v>5</v>
      </c>
      <c r="H281" s="98">
        <v>55000</v>
      </c>
      <c r="I281" s="98">
        <f t="shared" si="17"/>
        <v>130000</v>
      </c>
    </row>
    <row r="282" spans="1:10" x14ac:dyDescent="0.25">
      <c r="A282" s="132" t="s">
        <v>60</v>
      </c>
      <c r="B282" s="167" t="s">
        <v>61</v>
      </c>
      <c r="C282" s="133" t="s">
        <v>2027</v>
      </c>
      <c r="D282" s="133"/>
      <c r="E282" s="133" t="s">
        <v>11</v>
      </c>
      <c r="F282" s="132"/>
      <c r="G282" s="133">
        <v>1</v>
      </c>
      <c r="H282" s="133">
        <v>38000</v>
      </c>
      <c r="I282" s="133">
        <f t="shared" si="17"/>
        <v>96000</v>
      </c>
    </row>
    <row r="283" spans="1:10" x14ac:dyDescent="0.25">
      <c r="A283" t="s">
        <v>60</v>
      </c>
      <c r="B283" s="168" t="s">
        <v>68</v>
      </c>
      <c r="C283" s="1" t="s">
        <v>69</v>
      </c>
      <c r="D283" s="1" t="s">
        <v>138</v>
      </c>
      <c r="E283" s="1" t="s">
        <v>11</v>
      </c>
      <c r="G283" s="1">
        <v>0</v>
      </c>
      <c r="H283" s="98">
        <v>35000</v>
      </c>
      <c r="I283" s="98">
        <f t="shared" si="17"/>
        <v>90000</v>
      </c>
    </row>
    <row r="284" spans="1:10" s="135" customFormat="1" x14ac:dyDescent="0.25">
      <c r="A284" t="s">
        <v>60</v>
      </c>
      <c r="B284" s="168" t="s">
        <v>112</v>
      </c>
      <c r="C284" s="1" t="s">
        <v>113</v>
      </c>
      <c r="D284" s="1"/>
      <c r="E284" s="1" t="s">
        <v>11</v>
      </c>
      <c r="F284" t="s">
        <v>115</v>
      </c>
      <c r="G284" s="1"/>
      <c r="H284" s="98">
        <v>55000</v>
      </c>
      <c r="I284" s="98">
        <f t="shared" si="17"/>
        <v>130000</v>
      </c>
      <c r="J284"/>
    </row>
    <row r="285" spans="1:10" x14ac:dyDescent="0.25">
      <c r="A285" t="s">
        <v>60</v>
      </c>
      <c r="B285" s="168" t="s">
        <v>229</v>
      </c>
      <c r="C285" s="1" t="s">
        <v>233</v>
      </c>
      <c r="D285" s="1" t="s">
        <v>992</v>
      </c>
      <c r="E285" s="1" t="s">
        <v>11</v>
      </c>
      <c r="G285" s="1">
        <v>1</v>
      </c>
      <c r="H285" s="98"/>
      <c r="I285" s="98"/>
    </row>
    <row r="286" spans="1:10" x14ac:dyDescent="0.25">
      <c r="A286" s="135" t="s">
        <v>60</v>
      </c>
      <c r="B286" s="166" t="s">
        <v>279</v>
      </c>
      <c r="C286" s="136" t="s">
        <v>280</v>
      </c>
      <c r="D286" s="136" t="s">
        <v>133</v>
      </c>
      <c r="E286" s="136" t="s">
        <v>11</v>
      </c>
      <c r="F286" s="135"/>
      <c r="G286" s="136">
        <v>1</v>
      </c>
      <c r="H286" s="137">
        <v>35000</v>
      </c>
      <c r="I286" s="137">
        <f t="shared" ref="I286:I317" si="18">H286*2+20000</f>
        <v>90000</v>
      </c>
      <c r="J286" s="135"/>
    </row>
    <row r="287" spans="1:10" x14ac:dyDescent="0.25">
      <c r="A287" t="s">
        <v>60</v>
      </c>
      <c r="B287" s="168" t="s">
        <v>359</v>
      </c>
      <c r="C287" s="1" t="s">
        <v>360</v>
      </c>
      <c r="E287" s="1" t="s">
        <v>11</v>
      </c>
      <c r="G287" s="1">
        <v>0</v>
      </c>
      <c r="H287" s="1">
        <v>42000</v>
      </c>
      <c r="I287" s="1">
        <f t="shared" si="18"/>
        <v>104000</v>
      </c>
    </row>
    <row r="288" spans="1:10" x14ac:dyDescent="0.25">
      <c r="A288" t="s">
        <v>60</v>
      </c>
      <c r="B288" s="169" t="s">
        <v>361</v>
      </c>
      <c r="C288" s="1" t="s">
        <v>116</v>
      </c>
      <c r="D288" s="1">
        <v>106</v>
      </c>
      <c r="E288" s="1" t="s">
        <v>11</v>
      </c>
      <c r="H288" s="121">
        <v>40000</v>
      </c>
      <c r="I288" s="98">
        <f t="shared" si="18"/>
        <v>100000</v>
      </c>
    </row>
    <row r="289" spans="1:10" s="135" customFormat="1" x14ac:dyDescent="0.25">
      <c r="A289" t="s">
        <v>60</v>
      </c>
      <c r="B289" s="168" t="s">
        <v>467</v>
      </c>
      <c r="C289" s="1" t="s">
        <v>468</v>
      </c>
      <c r="D289" s="1" t="s">
        <v>319</v>
      </c>
      <c r="E289" s="1" t="s">
        <v>11</v>
      </c>
      <c r="F289"/>
      <c r="G289" s="1">
        <v>0</v>
      </c>
      <c r="H289" s="98">
        <v>40000</v>
      </c>
      <c r="I289" s="98">
        <f t="shared" si="18"/>
        <v>100000</v>
      </c>
      <c r="J289"/>
    </row>
    <row r="290" spans="1:10" x14ac:dyDescent="0.25">
      <c r="A290" s="135" t="s">
        <v>469</v>
      </c>
      <c r="B290" s="166" t="s">
        <v>470</v>
      </c>
      <c r="C290" s="136" t="s">
        <v>119</v>
      </c>
      <c r="D290" s="136" t="s">
        <v>1947</v>
      </c>
      <c r="E290" s="136" t="s">
        <v>11</v>
      </c>
      <c r="F290" s="135" t="s">
        <v>471</v>
      </c>
      <c r="G290" s="136">
        <v>1</v>
      </c>
      <c r="H290" s="137">
        <v>40000</v>
      </c>
      <c r="I290" s="137">
        <f t="shared" si="18"/>
        <v>100000</v>
      </c>
      <c r="J290" s="135"/>
    </row>
    <row r="291" spans="1:10" s="135" customFormat="1" x14ac:dyDescent="0.25">
      <c r="A291" t="s">
        <v>469</v>
      </c>
      <c r="B291" s="168" t="s">
        <v>470</v>
      </c>
      <c r="C291" s="1" t="s">
        <v>472</v>
      </c>
      <c r="D291" s="1" t="s">
        <v>711</v>
      </c>
      <c r="E291" s="1" t="s">
        <v>11</v>
      </c>
      <c r="F291" t="s">
        <v>101</v>
      </c>
      <c r="G291" s="1">
        <v>0</v>
      </c>
      <c r="H291" s="1">
        <v>51200</v>
      </c>
      <c r="I291" s="98">
        <f t="shared" si="18"/>
        <v>122400</v>
      </c>
      <c r="J291"/>
    </row>
    <row r="292" spans="1:10" x14ac:dyDescent="0.25">
      <c r="A292" t="s">
        <v>221</v>
      </c>
      <c r="B292" s="168" t="s">
        <v>217</v>
      </c>
      <c r="C292" s="1" t="s">
        <v>218</v>
      </c>
      <c r="D292" s="1" t="s">
        <v>1970</v>
      </c>
      <c r="E292" s="1" t="s">
        <v>11</v>
      </c>
      <c r="G292" s="1">
        <v>0</v>
      </c>
      <c r="H292" s="98">
        <v>42000</v>
      </c>
      <c r="I292" s="120">
        <f t="shared" si="18"/>
        <v>104000</v>
      </c>
    </row>
    <row r="293" spans="1:10" x14ac:dyDescent="0.25">
      <c r="A293" s="135" t="s">
        <v>221</v>
      </c>
      <c r="B293" s="166" t="s">
        <v>433</v>
      </c>
      <c r="C293" s="136" t="s">
        <v>113</v>
      </c>
      <c r="D293" s="136" t="s">
        <v>2054</v>
      </c>
      <c r="E293" s="136" t="s">
        <v>13</v>
      </c>
      <c r="F293" s="135"/>
      <c r="G293" s="136">
        <v>1</v>
      </c>
      <c r="H293" s="137">
        <v>25000</v>
      </c>
      <c r="I293" s="137">
        <f t="shared" si="18"/>
        <v>70000</v>
      </c>
      <c r="J293" s="135"/>
    </row>
    <row r="294" spans="1:10" x14ac:dyDescent="0.25">
      <c r="A294" t="s">
        <v>222</v>
      </c>
      <c r="B294" s="168" t="s">
        <v>217</v>
      </c>
      <c r="C294" s="1" t="s">
        <v>652</v>
      </c>
      <c r="D294" s="1" t="s">
        <v>1970</v>
      </c>
      <c r="E294" s="1" t="s">
        <v>11</v>
      </c>
      <c r="G294" s="1">
        <v>0</v>
      </c>
      <c r="H294" s="1">
        <v>43000</v>
      </c>
      <c r="I294" s="120">
        <f t="shared" si="18"/>
        <v>106000</v>
      </c>
    </row>
    <row r="295" spans="1:10" x14ac:dyDescent="0.25">
      <c r="A295" s="135" t="s">
        <v>222</v>
      </c>
      <c r="B295" s="166" t="s">
        <v>223</v>
      </c>
      <c r="C295" s="136" t="s">
        <v>103</v>
      </c>
      <c r="D295" s="136" t="s">
        <v>126</v>
      </c>
      <c r="E295" s="136" t="s">
        <v>11</v>
      </c>
      <c r="F295" s="135"/>
      <c r="G295" s="136">
        <v>1</v>
      </c>
      <c r="H295" s="137">
        <v>62000</v>
      </c>
      <c r="I295" s="139">
        <f t="shared" si="18"/>
        <v>144000</v>
      </c>
      <c r="J295" s="135"/>
    </row>
    <row r="296" spans="1:10" s="135" customFormat="1" x14ac:dyDescent="0.25">
      <c r="A296" t="s">
        <v>491</v>
      </c>
      <c r="B296" s="168" t="s">
        <v>490</v>
      </c>
      <c r="C296" s="1"/>
      <c r="D296" s="1"/>
      <c r="E296" s="1" t="s">
        <v>11</v>
      </c>
      <c r="F296"/>
      <c r="G296" s="1"/>
      <c r="H296" s="98"/>
      <c r="I296" s="98">
        <f t="shared" si="18"/>
        <v>20000</v>
      </c>
      <c r="J296"/>
    </row>
    <row r="297" spans="1:10" s="135" customFormat="1" x14ac:dyDescent="0.25">
      <c r="A297" t="s">
        <v>51</v>
      </c>
      <c r="B297" s="168">
        <v>1050</v>
      </c>
      <c r="C297" s="1"/>
      <c r="D297" s="1" t="s">
        <v>50</v>
      </c>
      <c r="E297" s="1" t="s">
        <v>11</v>
      </c>
      <c r="F297"/>
      <c r="G297" s="1"/>
      <c r="H297" s="98">
        <v>70000</v>
      </c>
      <c r="I297" s="98">
        <f t="shared" si="18"/>
        <v>160000</v>
      </c>
      <c r="J297"/>
    </row>
    <row r="298" spans="1:10" x14ac:dyDescent="0.25">
      <c r="A298" t="s">
        <v>51</v>
      </c>
      <c r="B298" s="168">
        <v>1500</v>
      </c>
      <c r="C298" s="1" t="s">
        <v>52</v>
      </c>
      <c r="D298" s="1">
        <v>117</v>
      </c>
      <c r="E298" s="1" t="s">
        <v>11</v>
      </c>
      <c r="H298" s="98">
        <v>55000</v>
      </c>
      <c r="I298" s="98">
        <f t="shared" si="18"/>
        <v>130000</v>
      </c>
    </row>
    <row r="299" spans="1:10" x14ac:dyDescent="0.25">
      <c r="A299" t="s">
        <v>9</v>
      </c>
      <c r="B299" s="168">
        <v>107</v>
      </c>
      <c r="C299" s="1" t="s">
        <v>10</v>
      </c>
      <c r="E299" s="1" t="s">
        <v>11</v>
      </c>
      <c r="H299" s="1">
        <v>35000</v>
      </c>
      <c r="I299" s="98">
        <f t="shared" si="18"/>
        <v>90000</v>
      </c>
    </row>
    <row r="300" spans="1:10" x14ac:dyDescent="0.25">
      <c r="A300" s="135" t="s">
        <v>9</v>
      </c>
      <c r="B300" s="166">
        <v>205</v>
      </c>
      <c r="C300" s="136"/>
      <c r="D300" s="136"/>
      <c r="E300" s="136" t="s">
        <v>13</v>
      </c>
      <c r="F300" s="135" t="s">
        <v>537</v>
      </c>
      <c r="G300" s="136">
        <v>1</v>
      </c>
      <c r="H300" s="137">
        <v>20000</v>
      </c>
      <c r="I300" s="137">
        <f t="shared" si="18"/>
        <v>60000</v>
      </c>
      <c r="J300" s="135"/>
    </row>
    <row r="301" spans="1:10" s="135" customFormat="1" x14ac:dyDescent="0.25">
      <c r="A301" t="s">
        <v>9</v>
      </c>
      <c r="B301" s="168">
        <v>205</v>
      </c>
      <c r="C301" s="1" t="s">
        <v>14</v>
      </c>
      <c r="D301" s="1"/>
      <c r="E301" s="1" t="s">
        <v>11</v>
      </c>
      <c r="F301"/>
      <c r="G301" s="1">
        <v>0</v>
      </c>
      <c r="H301" s="1">
        <v>39000</v>
      </c>
      <c r="I301" s="98">
        <f t="shared" si="18"/>
        <v>98000</v>
      </c>
      <c r="J301"/>
    </row>
    <row r="302" spans="1:10" x14ac:dyDescent="0.25">
      <c r="A302" s="135" t="s">
        <v>9</v>
      </c>
      <c r="B302" s="166">
        <v>206</v>
      </c>
      <c r="C302" s="136" t="s">
        <v>15</v>
      </c>
      <c r="D302" s="136" t="s">
        <v>240</v>
      </c>
      <c r="E302" s="136" t="s">
        <v>11</v>
      </c>
      <c r="F302" s="136"/>
      <c r="G302" s="136">
        <v>0</v>
      </c>
      <c r="H302" s="137">
        <v>41000</v>
      </c>
      <c r="I302" s="137">
        <f t="shared" si="18"/>
        <v>102000</v>
      </c>
      <c r="J302" s="135"/>
    </row>
    <row r="303" spans="1:10" x14ac:dyDescent="0.25">
      <c r="A303" s="135" t="s">
        <v>9</v>
      </c>
      <c r="B303" s="166">
        <v>207</v>
      </c>
      <c r="C303" s="136">
        <v>2008</v>
      </c>
      <c r="D303" s="136" t="s">
        <v>1876</v>
      </c>
      <c r="E303" s="136" t="s">
        <v>11</v>
      </c>
      <c r="F303" s="135"/>
      <c r="G303" s="136">
        <v>30</v>
      </c>
      <c r="H303" s="137">
        <v>40000</v>
      </c>
      <c r="I303" s="137">
        <f t="shared" si="18"/>
        <v>100000</v>
      </c>
      <c r="J303" s="135"/>
    </row>
    <row r="304" spans="1:10" s="135" customFormat="1" x14ac:dyDescent="0.25">
      <c r="A304" t="s">
        <v>9</v>
      </c>
      <c r="B304" s="168">
        <v>306</v>
      </c>
      <c r="C304" s="1">
        <v>1994</v>
      </c>
      <c r="D304" s="1"/>
      <c r="E304" s="1" t="s">
        <v>13</v>
      </c>
      <c r="F304"/>
      <c r="G304" s="1"/>
      <c r="H304" s="1">
        <v>30000</v>
      </c>
      <c r="I304" s="98">
        <f t="shared" si="18"/>
        <v>80000</v>
      </c>
      <c r="J304"/>
    </row>
    <row r="305" spans="1:10" s="135" customFormat="1" x14ac:dyDescent="0.25">
      <c r="A305" s="135" t="s">
        <v>9</v>
      </c>
      <c r="B305" s="166">
        <v>306</v>
      </c>
      <c r="C305" s="136" t="s">
        <v>22</v>
      </c>
      <c r="D305" s="136" t="s">
        <v>80</v>
      </c>
      <c r="E305" s="136" t="s">
        <v>13</v>
      </c>
      <c r="F305" s="136" t="s">
        <v>1628</v>
      </c>
      <c r="G305" s="136">
        <v>1</v>
      </c>
      <c r="H305" s="137">
        <v>30000</v>
      </c>
      <c r="I305" s="137">
        <f t="shared" si="18"/>
        <v>80000</v>
      </c>
    </row>
    <row r="306" spans="1:10" s="135" customFormat="1" ht="15.75" customHeight="1" x14ac:dyDescent="0.25">
      <c r="A306" t="s">
        <v>9</v>
      </c>
      <c r="B306" s="168">
        <v>306</v>
      </c>
      <c r="C306" s="1"/>
      <c r="D306" s="1"/>
      <c r="E306" s="1" t="s">
        <v>13</v>
      </c>
      <c r="F306"/>
      <c r="G306" s="1"/>
      <c r="H306" s="1">
        <v>30000</v>
      </c>
      <c r="I306" s="98">
        <f t="shared" si="18"/>
        <v>80000</v>
      </c>
      <c r="J306"/>
    </row>
    <row r="307" spans="1:10" s="135" customFormat="1" x14ac:dyDescent="0.25">
      <c r="A307" s="135" t="s">
        <v>9</v>
      </c>
      <c r="B307" s="166">
        <v>306</v>
      </c>
      <c r="C307" s="136" t="s">
        <v>23</v>
      </c>
      <c r="D307" s="136" t="s">
        <v>1983</v>
      </c>
      <c r="E307" s="136" t="s">
        <v>13</v>
      </c>
      <c r="F307" s="135" t="s">
        <v>24</v>
      </c>
      <c r="G307" s="136">
        <v>3</v>
      </c>
      <c r="H307" s="136">
        <v>30000</v>
      </c>
      <c r="I307" s="137">
        <f t="shared" si="18"/>
        <v>80000</v>
      </c>
    </row>
    <row r="308" spans="1:10" s="135" customFormat="1" x14ac:dyDescent="0.25">
      <c r="A308" s="135" t="s">
        <v>9</v>
      </c>
      <c r="B308" s="166">
        <v>308</v>
      </c>
      <c r="C308" s="136" t="s">
        <v>390</v>
      </c>
      <c r="D308" s="136" t="s">
        <v>442</v>
      </c>
      <c r="E308" s="136" t="s">
        <v>11</v>
      </c>
      <c r="F308" s="136" t="s">
        <v>87</v>
      </c>
      <c r="G308" s="136">
        <v>1</v>
      </c>
      <c r="H308" s="136">
        <v>70000</v>
      </c>
      <c r="I308" s="137">
        <f t="shared" si="18"/>
        <v>160000</v>
      </c>
    </row>
    <row r="309" spans="1:10" x14ac:dyDescent="0.25">
      <c r="A309" s="135" t="s">
        <v>9</v>
      </c>
      <c r="B309" s="166">
        <v>406</v>
      </c>
      <c r="C309" s="136" t="s">
        <v>36</v>
      </c>
      <c r="D309" s="136" t="s">
        <v>1865</v>
      </c>
      <c r="E309" s="136" t="s">
        <v>13</v>
      </c>
      <c r="F309" s="135"/>
      <c r="G309" s="136">
        <v>1</v>
      </c>
      <c r="H309" s="137">
        <v>30000</v>
      </c>
      <c r="I309" s="137">
        <f t="shared" si="18"/>
        <v>80000</v>
      </c>
      <c r="J309" s="135"/>
    </row>
    <row r="310" spans="1:10" x14ac:dyDescent="0.25">
      <c r="A310" t="s">
        <v>9</v>
      </c>
      <c r="B310" s="168">
        <v>406</v>
      </c>
      <c r="C310" s="1" t="s">
        <v>37</v>
      </c>
      <c r="D310" s="1" t="s">
        <v>1949</v>
      </c>
      <c r="E310" s="1" t="s">
        <v>11</v>
      </c>
      <c r="F310" t="s">
        <v>101</v>
      </c>
      <c r="G310" s="1">
        <v>0</v>
      </c>
      <c r="H310" s="1">
        <v>55000</v>
      </c>
      <c r="I310" s="1">
        <f t="shared" si="18"/>
        <v>130000</v>
      </c>
    </row>
    <row r="311" spans="1:10" x14ac:dyDescent="0.25">
      <c r="A311" t="s">
        <v>9</v>
      </c>
      <c r="B311" s="168">
        <v>407</v>
      </c>
      <c r="C311" s="1" t="s">
        <v>10</v>
      </c>
      <c r="E311" s="1" t="s">
        <v>11</v>
      </c>
      <c r="G311" s="1">
        <v>0</v>
      </c>
      <c r="H311" s="1">
        <v>61000</v>
      </c>
      <c r="I311" s="1">
        <f t="shared" si="18"/>
        <v>142000</v>
      </c>
    </row>
    <row r="312" spans="1:10" x14ac:dyDescent="0.25">
      <c r="A312" t="s">
        <v>9</v>
      </c>
      <c r="B312" s="168">
        <v>504</v>
      </c>
      <c r="D312" s="1">
        <v>102</v>
      </c>
      <c r="E312" s="1" t="s">
        <v>11</v>
      </c>
      <c r="H312" s="1">
        <v>30000</v>
      </c>
      <c r="I312" s="98">
        <f t="shared" si="18"/>
        <v>80000</v>
      </c>
    </row>
    <row r="313" spans="1:10" x14ac:dyDescent="0.25">
      <c r="A313" t="s">
        <v>9</v>
      </c>
      <c r="B313" s="168" t="s">
        <v>58</v>
      </c>
      <c r="C313" s="1" t="s">
        <v>59</v>
      </c>
      <c r="E313" s="1" t="s">
        <v>11</v>
      </c>
      <c r="H313" s="98">
        <v>64000</v>
      </c>
      <c r="I313" s="98">
        <f t="shared" si="18"/>
        <v>148000</v>
      </c>
    </row>
    <row r="314" spans="1:10" s="135" customFormat="1" x14ac:dyDescent="0.25">
      <c r="A314" t="s">
        <v>9</v>
      </c>
      <c r="B314" s="168" t="s">
        <v>85</v>
      </c>
      <c r="C314" s="1" t="s">
        <v>86</v>
      </c>
      <c r="D314" s="1"/>
      <c r="E314" s="1" t="s">
        <v>11</v>
      </c>
      <c r="F314" s="1" t="s">
        <v>87</v>
      </c>
      <c r="G314" s="1">
        <v>0</v>
      </c>
      <c r="H314" s="1">
        <v>59000</v>
      </c>
      <c r="I314" s="98">
        <f t="shared" si="18"/>
        <v>138000</v>
      </c>
      <c r="J314"/>
    </row>
    <row r="315" spans="1:10" s="135" customFormat="1" x14ac:dyDescent="0.25">
      <c r="A315" s="135" t="s">
        <v>9</v>
      </c>
      <c r="B315" s="166" t="s">
        <v>97</v>
      </c>
      <c r="C315" s="136" t="s">
        <v>19</v>
      </c>
      <c r="D315" s="136" t="s">
        <v>628</v>
      </c>
      <c r="E315" s="136" t="s">
        <v>11</v>
      </c>
      <c r="G315" s="136">
        <v>0</v>
      </c>
      <c r="H315" s="137">
        <v>46000</v>
      </c>
      <c r="I315" s="137">
        <f t="shared" si="18"/>
        <v>112000</v>
      </c>
    </row>
    <row r="316" spans="1:10" x14ac:dyDescent="0.25">
      <c r="A316" t="s">
        <v>9</v>
      </c>
      <c r="B316" s="168" t="s">
        <v>99</v>
      </c>
      <c r="C316" s="1" t="s">
        <v>100</v>
      </c>
      <c r="D316" s="1">
        <v>127</v>
      </c>
      <c r="E316" s="1" t="s">
        <v>11</v>
      </c>
      <c r="G316" s="1">
        <v>0</v>
      </c>
      <c r="H316" s="1">
        <v>65400</v>
      </c>
      <c r="I316" s="98">
        <f t="shared" si="18"/>
        <v>150800</v>
      </c>
    </row>
    <row r="317" spans="1:10" x14ac:dyDescent="0.25">
      <c r="A317" t="s">
        <v>25</v>
      </c>
      <c r="B317" s="168">
        <v>306</v>
      </c>
      <c r="C317" s="1" t="s">
        <v>26</v>
      </c>
      <c r="D317" s="1" t="s">
        <v>27</v>
      </c>
      <c r="E317" s="1" t="s">
        <v>11</v>
      </c>
      <c r="G317" s="1">
        <v>0</v>
      </c>
      <c r="H317" s="98">
        <v>32000</v>
      </c>
      <c r="I317" s="98">
        <f t="shared" si="18"/>
        <v>84000</v>
      </c>
    </row>
    <row r="318" spans="1:10" x14ac:dyDescent="0.25">
      <c r="A318" t="s">
        <v>25</v>
      </c>
      <c r="B318" s="168" t="s">
        <v>53</v>
      </c>
      <c r="C318" s="1" t="s">
        <v>54</v>
      </c>
      <c r="E318" s="1" t="s">
        <v>11</v>
      </c>
      <c r="H318" s="1">
        <v>100000</v>
      </c>
      <c r="I318" s="98">
        <f t="shared" ref="I318:I349" si="19">H318*2+20000</f>
        <v>220000</v>
      </c>
    </row>
    <row r="319" spans="1:10" s="135" customFormat="1" x14ac:dyDescent="0.25">
      <c r="A319" t="s">
        <v>25</v>
      </c>
      <c r="B319" s="168" t="s">
        <v>95</v>
      </c>
      <c r="C319" s="1" t="s">
        <v>96</v>
      </c>
      <c r="D319" s="1"/>
      <c r="E319" s="1" t="s">
        <v>11</v>
      </c>
      <c r="F319"/>
      <c r="G319" s="1">
        <v>0</v>
      </c>
      <c r="H319" s="98">
        <v>72000</v>
      </c>
      <c r="I319" s="98">
        <f t="shared" si="19"/>
        <v>164000</v>
      </c>
      <c r="J319"/>
    </row>
    <row r="320" spans="1:10" x14ac:dyDescent="0.25">
      <c r="A320" t="s">
        <v>272</v>
      </c>
      <c r="B320" s="168" t="s">
        <v>273</v>
      </c>
      <c r="C320" s="1" t="s">
        <v>1562</v>
      </c>
      <c r="D320" s="1" t="s">
        <v>711</v>
      </c>
      <c r="E320" s="1" t="s">
        <v>11</v>
      </c>
      <c r="G320" s="1">
        <v>0</v>
      </c>
      <c r="H320" s="98">
        <v>45000</v>
      </c>
      <c r="I320" s="98">
        <f t="shared" si="19"/>
        <v>110000</v>
      </c>
    </row>
    <row r="321" spans="1:10" x14ac:dyDescent="0.25">
      <c r="A321" t="s">
        <v>586</v>
      </c>
      <c r="B321" s="168" t="s">
        <v>587</v>
      </c>
      <c r="C321" s="1" t="s">
        <v>424</v>
      </c>
      <c r="D321" s="1" t="s">
        <v>333</v>
      </c>
      <c r="E321" s="1" t="s">
        <v>11</v>
      </c>
      <c r="G321" s="1">
        <v>1</v>
      </c>
      <c r="H321" s="98">
        <v>74000</v>
      </c>
      <c r="I321" s="98">
        <f t="shared" si="19"/>
        <v>168000</v>
      </c>
    </row>
    <row r="322" spans="1:10" ht="14.25" customHeight="1" x14ac:dyDescent="0.25">
      <c r="A322" s="135" t="s">
        <v>405</v>
      </c>
      <c r="B322" s="166" t="s">
        <v>406</v>
      </c>
      <c r="C322" s="136" t="s">
        <v>33</v>
      </c>
      <c r="D322" s="136" t="s">
        <v>369</v>
      </c>
      <c r="E322" s="136" t="s">
        <v>11</v>
      </c>
      <c r="F322" s="135" t="s">
        <v>537</v>
      </c>
      <c r="G322" s="136">
        <v>1</v>
      </c>
      <c r="H322" s="137">
        <v>33000</v>
      </c>
      <c r="I322" s="137">
        <f t="shared" si="19"/>
        <v>86000</v>
      </c>
      <c r="J322" s="135"/>
    </row>
    <row r="323" spans="1:10" s="135" customFormat="1" x14ac:dyDescent="0.25">
      <c r="A323" t="s">
        <v>405</v>
      </c>
      <c r="B323" s="168" t="s">
        <v>411</v>
      </c>
      <c r="C323" s="1" t="s">
        <v>19</v>
      </c>
      <c r="D323" s="1" t="s">
        <v>997</v>
      </c>
      <c r="E323" s="1" t="s">
        <v>13</v>
      </c>
      <c r="F323" t="s">
        <v>1822</v>
      </c>
      <c r="G323" s="1">
        <v>1</v>
      </c>
      <c r="H323" s="98">
        <v>35000</v>
      </c>
      <c r="I323" s="98">
        <f t="shared" si="19"/>
        <v>90000</v>
      </c>
      <c r="J323"/>
    </row>
    <row r="324" spans="1:10" s="135" customFormat="1" x14ac:dyDescent="0.25">
      <c r="A324" t="s">
        <v>405</v>
      </c>
      <c r="B324" s="168" t="s">
        <v>413</v>
      </c>
      <c r="C324" s="1" t="s">
        <v>19</v>
      </c>
      <c r="D324" s="1" t="s">
        <v>407</v>
      </c>
      <c r="E324" s="1" t="s">
        <v>11</v>
      </c>
      <c r="F324"/>
      <c r="G324" s="1">
        <v>0</v>
      </c>
      <c r="H324" s="1">
        <v>73000</v>
      </c>
      <c r="I324" s="98">
        <f t="shared" si="19"/>
        <v>166000</v>
      </c>
      <c r="J324"/>
    </row>
    <row r="325" spans="1:10" s="135" customFormat="1" x14ac:dyDescent="0.25">
      <c r="A325" s="135" t="s">
        <v>405</v>
      </c>
      <c r="B325" s="166" t="s">
        <v>414</v>
      </c>
      <c r="C325" s="136" t="s">
        <v>40</v>
      </c>
      <c r="D325" s="136" t="s">
        <v>2060</v>
      </c>
      <c r="E325" s="136" t="s">
        <v>13</v>
      </c>
      <c r="F325" s="136" t="s">
        <v>537</v>
      </c>
      <c r="G325" s="136">
        <v>1</v>
      </c>
      <c r="H325" s="137">
        <v>35000</v>
      </c>
      <c r="I325" s="137">
        <f t="shared" si="19"/>
        <v>90000</v>
      </c>
    </row>
    <row r="326" spans="1:10" x14ac:dyDescent="0.25">
      <c r="A326" s="135" t="s">
        <v>405</v>
      </c>
      <c r="B326" s="166" t="s">
        <v>1573</v>
      </c>
      <c r="C326" s="136" t="s">
        <v>57</v>
      </c>
      <c r="D326" s="136" t="s">
        <v>38</v>
      </c>
      <c r="E326" s="136" t="s">
        <v>11</v>
      </c>
      <c r="F326" s="135"/>
      <c r="G326" s="136">
        <v>1</v>
      </c>
      <c r="H326" s="136">
        <v>53000</v>
      </c>
      <c r="I326" s="136">
        <f t="shared" si="19"/>
        <v>126000</v>
      </c>
      <c r="J326" s="135"/>
    </row>
    <row r="327" spans="1:10" x14ac:dyDescent="0.25">
      <c r="A327" s="135" t="s">
        <v>331</v>
      </c>
      <c r="B327" s="166" t="s">
        <v>2068</v>
      </c>
      <c r="C327" s="136" t="s">
        <v>332</v>
      </c>
      <c r="D327" s="136" t="s">
        <v>1888</v>
      </c>
      <c r="E327" s="136" t="s">
        <v>11</v>
      </c>
      <c r="F327" s="135" t="s">
        <v>1622</v>
      </c>
      <c r="G327" s="136">
        <v>1</v>
      </c>
      <c r="H327" s="136">
        <v>71000</v>
      </c>
      <c r="I327" s="137">
        <f t="shared" si="19"/>
        <v>162000</v>
      </c>
      <c r="J327" s="135"/>
    </row>
    <row r="328" spans="1:10" s="135" customFormat="1" x14ac:dyDescent="0.25">
      <c r="A328" s="135" t="s">
        <v>408</v>
      </c>
      <c r="B328" s="166" t="s">
        <v>409</v>
      </c>
      <c r="C328" s="136" t="s">
        <v>410</v>
      </c>
      <c r="D328" s="136" t="s">
        <v>369</v>
      </c>
      <c r="E328" s="136" t="s">
        <v>11</v>
      </c>
      <c r="G328" s="136">
        <v>1</v>
      </c>
      <c r="H328" s="137">
        <v>40000</v>
      </c>
      <c r="I328" s="137">
        <f t="shared" si="19"/>
        <v>100000</v>
      </c>
    </row>
    <row r="329" spans="1:10" s="135" customFormat="1" x14ac:dyDescent="0.25">
      <c r="A329" t="s">
        <v>492</v>
      </c>
      <c r="B329" s="168" t="s">
        <v>490</v>
      </c>
      <c r="C329" s="1"/>
      <c r="D329" s="1"/>
      <c r="E329" s="1" t="s">
        <v>13</v>
      </c>
      <c r="F329"/>
      <c r="G329" s="1">
        <v>1</v>
      </c>
      <c r="H329" s="1"/>
      <c r="I329" s="98">
        <f t="shared" si="19"/>
        <v>20000</v>
      </c>
      <c r="J329"/>
    </row>
    <row r="330" spans="1:10" x14ac:dyDescent="0.25">
      <c r="A330" t="s">
        <v>12</v>
      </c>
      <c r="B330" s="168">
        <v>112</v>
      </c>
      <c r="C330" s="1">
        <v>1980</v>
      </c>
      <c r="E330" s="1" t="s">
        <v>11</v>
      </c>
      <c r="G330" s="1">
        <v>0</v>
      </c>
      <c r="H330" s="1">
        <v>72000</v>
      </c>
      <c r="I330" s="1">
        <f t="shared" si="19"/>
        <v>164000</v>
      </c>
    </row>
    <row r="331" spans="1:10" x14ac:dyDescent="0.25">
      <c r="A331" t="s">
        <v>81</v>
      </c>
      <c r="B331" s="168" t="s">
        <v>82</v>
      </c>
      <c r="C331" s="1" t="s">
        <v>83</v>
      </c>
      <c r="E331" s="1" t="s">
        <v>11</v>
      </c>
      <c r="G331" s="1">
        <v>0</v>
      </c>
      <c r="H331" s="1">
        <v>46000</v>
      </c>
      <c r="I331" s="1">
        <f t="shared" si="19"/>
        <v>112000</v>
      </c>
    </row>
    <row r="332" spans="1:10" s="135" customFormat="1" ht="14.25" customHeight="1" x14ac:dyDescent="0.25">
      <c r="A332" t="s">
        <v>610</v>
      </c>
      <c r="B332" s="168" t="s">
        <v>611</v>
      </c>
      <c r="C332" s="1" t="s">
        <v>17</v>
      </c>
      <c r="D332" s="1"/>
      <c r="E332" s="1" t="s">
        <v>11</v>
      </c>
      <c r="F332"/>
      <c r="G332" s="1">
        <v>0</v>
      </c>
      <c r="H332" s="98">
        <v>43000</v>
      </c>
      <c r="I332" s="98">
        <f t="shared" si="19"/>
        <v>106000</v>
      </c>
      <c r="J332"/>
    </row>
    <row r="333" spans="1:10" x14ac:dyDescent="0.25">
      <c r="A333" t="s">
        <v>174</v>
      </c>
      <c r="B333" s="168" t="s">
        <v>175</v>
      </c>
      <c r="C333" s="1" t="s">
        <v>176</v>
      </c>
      <c r="D333" s="1" t="s">
        <v>997</v>
      </c>
      <c r="E333" s="1" t="s">
        <v>13</v>
      </c>
      <c r="F333" s="1" t="s">
        <v>1999</v>
      </c>
      <c r="G333" s="1">
        <v>0</v>
      </c>
      <c r="H333" s="1">
        <v>32000</v>
      </c>
      <c r="I333" s="98">
        <f t="shared" si="19"/>
        <v>84000</v>
      </c>
    </row>
    <row r="334" spans="1:10" x14ac:dyDescent="0.25">
      <c r="A334" t="s">
        <v>174</v>
      </c>
      <c r="B334" s="168" t="s">
        <v>177</v>
      </c>
      <c r="C334" s="1" t="s">
        <v>176</v>
      </c>
      <c r="D334" s="1" t="s">
        <v>131</v>
      </c>
      <c r="E334" s="1" t="s">
        <v>11</v>
      </c>
      <c r="F334" t="s">
        <v>1568</v>
      </c>
      <c r="G334" s="1">
        <v>0</v>
      </c>
      <c r="H334" s="98">
        <v>48000</v>
      </c>
      <c r="I334" s="98">
        <f t="shared" si="19"/>
        <v>116000</v>
      </c>
    </row>
    <row r="335" spans="1:10" s="135" customFormat="1" x14ac:dyDescent="0.25">
      <c r="A335" t="s">
        <v>626</v>
      </c>
      <c r="B335" s="168" t="s">
        <v>627</v>
      </c>
      <c r="C335" s="1" t="s">
        <v>569</v>
      </c>
      <c r="D335" s="1" t="s">
        <v>838</v>
      </c>
      <c r="E335" s="1" t="s">
        <v>11</v>
      </c>
      <c r="F335" s="1"/>
      <c r="G335" s="1">
        <v>0</v>
      </c>
      <c r="H335" s="1">
        <v>40000</v>
      </c>
      <c r="I335" s="1">
        <f t="shared" si="19"/>
        <v>100000</v>
      </c>
      <c r="J335"/>
    </row>
    <row r="336" spans="1:10" x14ac:dyDescent="0.25">
      <c r="A336" s="135" t="s">
        <v>626</v>
      </c>
      <c r="B336" s="166" t="s">
        <v>627</v>
      </c>
      <c r="C336" s="136" t="s">
        <v>629</v>
      </c>
      <c r="D336" s="136" t="s">
        <v>1958</v>
      </c>
      <c r="E336" s="136" t="s">
        <v>11</v>
      </c>
      <c r="F336" s="135"/>
      <c r="G336" s="136">
        <v>1</v>
      </c>
      <c r="H336" s="137">
        <v>59000</v>
      </c>
      <c r="I336" s="137">
        <f t="shared" si="19"/>
        <v>138000</v>
      </c>
      <c r="J336" s="135"/>
    </row>
    <row r="337" spans="1:10" x14ac:dyDescent="0.25">
      <c r="A337" t="s">
        <v>626</v>
      </c>
      <c r="B337" s="168" t="s">
        <v>627</v>
      </c>
      <c r="C337" s="1" t="s">
        <v>630</v>
      </c>
      <c r="E337" s="1" t="s">
        <v>11</v>
      </c>
      <c r="G337" s="1">
        <v>0</v>
      </c>
      <c r="H337" s="98">
        <v>35000</v>
      </c>
      <c r="I337" s="98">
        <f t="shared" si="19"/>
        <v>90000</v>
      </c>
    </row>
    <row r="338" spans="1:10" x14ac:dyDescent="0.25">
      <c r="A338" s="135" t="s">
        <v>626</v>
      </c>
      <c r="B338" s="166" t="s">
        <v>631</v>
      </c>
      <c r="C338" s="136">
        <v>2013</v>
      </c>
      <c r="D338" s="136" t="s">
        <v>80</v>
      </c>
      <c r="E338" s="136" t="s">
        <v>13</v>
      </c>
      <c r="F338" s="136" t="s">
        <v>537</v>
      </c>
      <c r="G338" s="136">
        <v>1</v>
      </c>
      <c r="H338" s="137">
        <v>30000</v>
      </c>
      <c r="I338" s="137">
        <f t="shared" si="19"/>
        <v>80000</v>
      </c>
      <c r="J338" s="135"/>
    </row>
    <row r="339" spans="1:10" x14ac:dyDescent="0.25">
      <c r="B339" s="168" t="s">
        <v>181</v>
      </c>
      <c r="C339" s="1" t="s">
        <v>182</v>
      </c>
      <c r="D339" s="1" t="s">
        <v>70</v>
      </c>
      <c r="E339" s="1" t="s">
        <v>11</v>
      </c>
      <c r="G339" s="1">
        <v>0</v>
      </c>
      <c r="H339" s="1">
        <v>40000</v>
      </c>
      <c r="I339" s="1">
        <f t="shared" si="19"/>
        <v>100000</v>
      </c>
    </row>
    <row r="340" spans="1:10" x14ac:dyDescent="0.25">
      <c r="A340" s="135" t="s">
        <v>179</v>
      </c>
      <c r="B340" s="166" t="s">
        <v>188</v>
      </c>
      <c r="C340" s="136" t="s">
        <v>189</v>
      </c>
      <c r="D340" s="136" t="s">
        <v>1963</v>
      </c>
      <c r="E340" s="136" t="s">
        <v>11</v>
      </c>
      <c r="F340" s="135" t="s">
        <v>191</v>
      </c>
      <c r="G340" s="136">
        <v>1</v>
      </c>
      <c r="H340" s="137">
        <v>54000</v>
      </c>
      <c r="I340" s="137">
        <f t="shared" si="19"/>
        <v>128000</v>
      </c>
    </row>
    <row r="341" spans="1:10" s="135" customFormat="1" x14ac:dyDescent="0.25">
      <c r="A341" s="135" t="s">
        <v>179</v>
      </c>
      <c r="B341" s="168" t="s">
        <v>1603</v>
      </c>
      <c r="C341" s="1" t="s">
        <v>108</v>
      </c>
      <c r="D341" s="1" t="s">
        <v>978</v>
      </c>
      <c r="E341" s="1" t="s">
        <v>11</v>
      </c>
      <c r="F341" t="s">
        <v>192</v>
      </c>
      <c r="G341" s="1">
        <v>0</v>
      </c>
      <c r="H341" s="1">
        <v>39000</v>
      </c>
      <c r="I341" s="98">
        <f t="shared" si="19"/>
        <v>98000</v>
      </c>
      <c r="J341"/>
    </row>
    <row r="342" spans="1:10" x14ac:dyDescent="0.25">
      <c r="A342" t="s">
        <v>179</v>
      </c>
      <c r="B342" s="168" t="s">
        <v>194</v>
      </c>
      <c r="C342" s="1" t="s">
        <v>103</v>
      </c>
      <c r="D342" s="1" t="s">
        <v>190</v>
      </c>
      <c r="E342" s="1" t="s">
        <v>11</v>
      </c>
      <c r="F342" t="s">
        <v>191</v>
      </c>
      <c r="G342" s="1">
        <v>0</v>
      </c>
      <c r="H342" s="98">
        <v>57000</v>
      </c>
      <c r="I342" s="98">
        <f t="shared" si="19"/>
        <v>134000</v>
      </c>
    </row>
    <row r="343" spans="1:10" x14ac:dyDescent="0.25">
      <c r="A343" s="135" t="s">
        <v>179</v>
      </c>
      <c r="B343" s="166" t="s">
        <v>252</v>
      </c>
      <c r="C343" s="136" t="s">
        <v>742</v>
      </c>
      <c r="D343" s="136" t="s">
        <v>1610</v>
      </c>
      <c r="E343" s="136" t="s">
        <v>13</v>
      </c>
      <c r="F343" s="135"/>
      <c r="G343" s="136">
        <v>4</v>
      </c>
      <c r="H343" s="137">
        <v>30000</v>
      </c>
      <c r="I343" s="137">
        <f t="shared" si="19"/>
        <v>80000</v>
      </c>
      <c r="J343" s="135"/>
    </row>
    <row r="344" spans="1:10" x14ac:dyDescent="0.25">
      <c r="A344" t="s">
        <v>179</v>
      </c>
      <c r="B344" s="168" t="s">
        <v>252</v>
      </c>
      <c r="C344" s="1" t="s">
        <v>119</v>
      </c>
      <c r="E344" s="1" t="s">
        <v>11</v>
      </c>
      <c r="G344" s="1">
        <v>0</v>
      </c>
      <c r="H344" s="1">
        <v>69000</v>
      </c>
      <c r="I344" s="1">
        <f t="shared" si="19"/>
        <v>158000</v>
      </c>
    </row>
    <row r="345" spans="1:10" x14ac:dyDescent="0.25">
      <c r="A345" t="s">
        <v>179</v>
      </c>
      <c r="B345" s="168" t="s">
        <v>252</v>
      </c>
      <c r="C345" s="1" t="s">
        <v>254</v>
      </c>
      <c r="D345" s="1" t="s">
        <v>589</v>
      </c>
      <c r="E345" s="1" t="s">
        <v>11</v>
      </c>
      <c r="G345" s="1">
        <v>0</v>
      </c>
      <c r="H345" s="1">
        <v>52000</v>
      </c>
      <c r="I345" s="1">
        <f t="shared" si="19"/>
        <v>124000</v>
      </c>
    </row>
    <row r="346" spans="1:10" x14ac:dyDescent="0.25">
      <c r="A346" t="s">
        <v>179</v>
      </c>
      <c r="B346" s="168" t="s">
        <v>348</v>
      </c>
      <c r="C346" s="1" t="s">
        <v>349</v>
      </c>
      <c r="D346" s="1" t="s">
        <v>997</v>
      </c>
      <c r="E346" s="1" t="s">
        <v>13</v>
      </c>
      <c r="G346" s="1">
        <v>1</v>
      </c>
      <c r="H346" s="98">
        <v>20000</v>
      </c>
      <c r="I346" s="98">
        <f t="shared" si="19"/>
        <v>60000</v>
      </c>
    </row>
    <row r="347" spans="1:10" x14ac:dyDescent="0.25">
      <c r="A347" s="135" t="s">
        <v>179</v>
      </c>
      <c r="B347" s="166" t="s">
        <v>348</v>
      </c>
      <c r="C347" s="136" t="s">
        <v>350</v>
      </c>
      <c r="D347" s="136" t="s">
        <v>1858</v>
      </c>
      <c r="E347" s="136" t="s">
        <v>13</v>
      </c>
      <c r="F347" s="136" t="s">
        <v>1867</v>
      </c>
      <c r="G347" s="136">
        <v>2</v>
      </c>
      <c r="H347" s="136">
        <v>20000</v>
      </c>
      <c r="I347" s="137">
        <f t="shared" si="19"/>
        <v>60000</v>
      </c>
      <c r="J347" s="135"/>
    </row>
    <row r="348" spans="1:10" s="135" customFormat="1" x14ac:dyDescent="0.25">
      <c r="A348" t="s">
        <v>179</v>
      </c>
      <c r="B348" s="168" t="s">
        <v>348</v>
      </c>
      <c r="C348" s="1" t="s">
        <v>863</v>
      </c>
      <c r="D348" s="1" t="s">
        <v>319</v>
      </c>
      <c r="E348" s="1" t="s">
        <v>11</v>
      </c>
      <c r="F348"/>
      <c r="G348" s="1">
        <v>0</v>
      </c>
      <c r="H348" s="98">
        <v>42000</v>
      </c>
      <c r="I348" s="98">
        <f t="shared" si="19"/>
        <v>104000</v>
      </c>
      <c r="J348"/>
    </row>
    <row r="349" spans="1:10" x14ac:dyDescent="0.25">
      <c r="A349" s="135" t="s">
        <v>179</v>
      </c>
      <c r="B349" s="166" t="s">
        <v>362</v>
      </c>
      <c r="C349" s="136" t="s">
        <v>29</v>
      </c>
      <c r="D349" s="136" t="s">
        <v>1047</v>
      </c>
      <c r="E349" s="136" t="s">
        <v>11</v>
      </c>
      <c r="F349" s="135"/>
      <c r="G349" s="136">
        <v>0</v>
      </c>
      <c r="H349" s="137">
        <v>48000</v>
      </c>
      <c r="I349" s="137">
        <f t="shared" si="19"/>
        <v>116000</v>
      </c>
      <c r="J349" s="135"/>
    </row>
    <row r="350" spans="1:10" x14ac:dyDescent="0.25">
      <c r="A350" t="s">
        <v>179</v>
      </c>
      <c r="B350" s="168" t="s">
        <v>386</v>
      </c>
      <c r="C350" s="1" t="s">
        <v>387</v>
      </c>
      <c r="E350" s="1" t="s">
        <v>11</v>
      </c>
      <c r="G350" s="1">
        <v>0</v>
      </c>
      <c r="H350" s="1">
        <v>67000</v>
      </c>
      <c r="I350" s="1">
        <f t="shared" ref="I350:I369" si="20">H350*2+20000</f>
        <v>154000</v>
      </c>
    </row>
    <row r="351" spans="1:10" x14ac:dyDescent="0.25">
      <c r="A351" t="s">
        <v>179</v>
      </c>
      <c r="B351" s="168" t="s">
        <v>571</v>
      </c>
      <c r="C351" s="1" t="s">
        <v>572</v>
      </c>
      <c r="D351" s="1" t="s">
        <v>573</v>
      </c>
      <c r="E351" s="1" t="s">
        <v>11</v>
      </c>
      <c r="G351" s="1">
        <v>0</v>
      </c>
      <c r="H351" s="98">
        <v>33000</v>
      </c>
      <c r="I351" s="98">
        <f t="shared" si="20"/>
        <v>86000</v>
      </c>
    </row>
    <row r="352" spans="1:10" x14ac:dyDescent="0.25">
      <c r="A352" t="s">
        <v>179</v>
      </c>
      <c r="B352" s="168" t="s">
        <v>574</v>
      </c>
      <c r="C352" s="1" t="s">
        <v>575</v>
      </c>
      <c r="E352" s="1" t="s">
        <v>11</v>
      </c>
      <c r="G352" s="1">
        <v>0</v>
      </c>
      <c r="H352" s="98">
        <v>48000</v>
      </c>
      <c r="I352" s="98">
        <f t="shared" si="20"/>
        <v>116000</v>
      </c>
    </row>
    <row r="353" spans="1:10" x14ac:dyDescent="0.25">
      <c r="A353" s="135" t="s">
        <v>179</v>
      </c>
      <c r="B353" s="166" t="s">
        <v>632</v>
      </c>
      <c r="C353" s="136"/>
      <c r="D353" s="136" t="s">
        <v>1041</v>
      </c>
      <c r="E353" s="136" t="s">
        <v>11</v>
      </c>
      <c r="F353" s="135"/>
      <c r="G353" s="136">
        <v>1</v>
      </c>
      <c r="H353" s="137">
        <v>35000</v>
      </c>
      <c r="I353" s="137">
        <f t="shared" si="20"/>
        <v>90000</v>
      </c>
      <c r="J353" s="135"/>
    </row>
    <row r="354" spans="1:10" x14ac:dyDescent="0.25">
      <c r="A354" t="s">
        <v>1581</v>
      </c>
      <c r="B354" s="168" t="s">
        <v>1582</v>
      </c>
      <c r="C354" s="1" t="s">
        <v>363</v>
      </c>
      <c r="D354" s="1" t="s">
        <v>353</v>
      </c>
      <c r="E354" s="1" t="s">
        <v>11</v>
      </c>
      <c r="G354" s="1">
        <v>0</v>
      </c>
      <c r="H354" s="98">
        <v>45000</v>
      </c>
      <c r="I354" s="98">
        <f t="shared" si="20"/>
        <v>110000</v>
      </c>
    </row>
    <row r="355" spans="1:10" s="135" customFormat="1" x14ac:dyDescent="0.25">
      <c r="A355" s="135" t="s">
        <v>351</v>
      </c>
      <c r="B355" s="166" t="s">
        <v>352</v>
      </c>
      <c r="C355" s="136" t="s">
        <v>108</v>
      </c>
      <c r="D355" s="136" t="s">
        <v>1941</v>
      </c>
      <c r="E355" s="136" t="s">
        <v>11</v>
      </c>
      <c r="G355" s="136">
        <v>1</v>
      </c>
      <c r="H355" s="136">
        <v>30000</v>
      </c>
      <c r="I355" s="137">
        <f t="shared" si="20"/>
        <v>80000</v>
      </c>
    </row>
    <row r="356" spans="1:10" s="135" customFormat="1" x14ac:dyDescent="0.25">
      <c r="A356" s="135" t="s">
        <v>1955</v>
      </c>
      <c r="B356" s="166" t="s">
        <v>1954</v>
      </c>
      <c r="C356" s="136" t="s">
        <v>113</v>
      </c>
      <c r="D356" s="136" t="s">
        <v>978</v>
      </c>
      <c r="E356" s="136" t="s">
        <v>11</v>
      </c>
      <c r="G356" s="136">
        <v>1</v>
      </c>
      <c r="H356" s="136">
        <v>41000</v>
      </c>
      <c r="I356" s="137">
        <f t="shared" si="20"/>
        <v>102000</v>
      </c>
    </row>
    <row r="357" spans="1:10" x14ac:dyDescent="0.25">
      <c r="A357" s="135" t="s">
        <v>238</v>
      </c>
      <c r="B357" s="166" t="s">
        <v>239</v>
      </c>
      <c r="C357" s="136" t="s">
        <v>130</v>
      </c>
      <c r="D357" s="136" t="s">
        <v>391</v>
      </c>
      <c r="E357" s="136" t="s">
        <v>11</v>
      </c>
      <c r="F357" s="135"/>
      <c r="G357" s="136">
        <v>1</v>
      </c>
      <c r="H357" s="136">
        <v>49000</v>
      </c>
      <c r="I357" s="137">
        <f t="shared" si="20"/>
        <v>118000</v>
      </c>
      <c r="J357" s="135"/>
    </row>
    <row r="358" spans="1:10" s="135" customFormat="1" x14ac:dyDescent="0.25">
      <c r="A358" s="132" t="s">
        <v>238</v>
      </c>
      <c r="B358" s="167" t="s">
        <v>314</v>
      </c>
      <c r="C358" s="133" t="s">
        <v>113</v>
      </c>
      <c r="D358" s="133" t="s">
        <v>1951</v>
      </c>
      <c r="E358" s="133" t="s">
        <v>11</v>
      </c>
      <c r="F358" s="132" t="s">
        <v>101</v>
      </c>
      <c r="G358" s="133">
        <v>1</v>
      </c>
      <c r="H358" s="134">
        <v>40000</v>
      </c>
      <c r="I358" s="134">
        <f t="shared" si="20"/>
        <v>100000</v>
      </c>
      <c r="J358" s="132"/>
    </row>
    <row r="359" spans="1:10" s="135" customFormat="1" x14ac:dyDescent="0.25">
      <c r="A359" t="s">
        <v>238</v>
      </c>
      <c r="B359" s="168" t="s">
        <v>426</v>
      </c>
      <c r="C359" s="1" t="s">
        <v>427</v>
      </c>
      <c r="D359" s="1"/>
      <c r="E359" s="1" t="s">
        <v>11</v>
      </c>
      <c r="F359"/>
      <c r="G359" s="1">
        <v>0</v>
      </c>
      <c r="H359" s="98">
        <v>49000</v>
      </c>
      <c r="I359" s="98">
        <f t="shared" si="20"/>
        <v>118000</v>
      </c>
      <c r="J359"/>
    </row>
    <row r="360" spans="1:10" x14ac:dyDescent="0.25">
      <c r="A360" s="135" t="s">
        <v>238</v>
      </c>
      <c r="B360" s="166" t="s">
        <v>426</v>
      </c>
      <c r="C360" s="136" t="s">
        <v>428</v>
      </c>
      <c r="D360" s="136" t="s">
        <v>407</v>
      </c>
      <c r="E360" s="136" t="s">
        <v>11</v>
      </c>
      <c r="F360" s="135"/>
      <c r="G360" s="136">
        <v>1</v>
      </c>
      <c r="H360" s="137">
        <v>36000</v>
      </c>
      <c r="I360" s="137">
        <f t="shared" si="20"/>
        <v>92000</v>
      </c>
      <c r="J360" s="135"/>
    </row>
    <row r="361" spans="1:10" x14ac:dyDescent="0.25">
      <c r="A361" t="s">
        <v>238</v>
      </c>
      <c r="B361" s="168" t="s">
        <v>426</v>
      </c>
      <c r="C361" s="1" t="s">
        <v>125</v>
      </c>
      <c r="E361" s="1" t="s">
        <v>11</v>
      </c>
      <c r="G361" s="1">
        <v>0</v>
      </c>
      <c r="H361" s="1">
        <v>35000</v>
      </c>
      <c r="I361" s="1">
        <f t="shared" si="20"/>
        <v>90000</v>
      </c>
    </row>
    <row r="362" spans="1:10" x14ac:dyDescent="0.25">
      <c r="A362" t="s">
        <v>238</v>
      </c>
      <c r="B362" s="168" t="s">
        <v>426</v>
      </c>
      <c r="C362" s="1" t="s">
        <v>429</v>
      </c>
      <c r="E362" s="1" t="s">
        <v>11</v>
      </c>
      <c r="F362" s="1"/>
      <c r="G362" s="1">
        <v>0</v>
      </c>
      <c r="H362" s="98">
        <v>55000</v>
      </c>
      <c r="I362" s="98">
        <f t="shared" si="20"/>
        <v>130000</v>
      </c>
    </row>
    <row r="363" spans="1:10" s="135" customFormat="1" x14ac:dyDescent="0.25">
      <c r="A363" t="s">
        <v>238</v>
      </c>
      <c r="B363" s="168" t="s">
        <v>430</v>
      </c>
      <c r="C363" s="1" t="s">
        <v>431</v>
      </c>
      <c r="D363" s="1" t="s">
        <v>1968</v>
      </c>
      <c r="E363" s="1" t="s">
        <v>11</v>
      </c>
      <c r="F363"/>
      <c r="G363" s="1">
        <v>0</v>
      </c>
      <c r="H363" s="98">
        <v>50000</v>
      </c>
      <c r="I363" s="98">
        <f t="shared" si="20"/>
        <v>120000</v>
      </c>
      <c r="J363"/>
    </row>
    <row r="364" spans="1:10" x14ac:dyDescent="0.25">
      <c r="A364" t="s">
        <v>238</v>
      </c>
      <c r="B364" s="168" t="s">
        <v>432</v>
      </c>
      <c r="C364" s="1">
        <v>1987</v>
      </c>
      <c r="E364" s="1" t="s">
        <v>11</v>
      </c>
      <c r="G364" s="1">
        <v>0</v>
      </c>
      <c r="H364" s="98">
        <v>38655</v>
      </c>
      <c r="I364" s="98">
        <f t="shared" si="20"/>
        <v>97310</v>
      </c>
    </row>
    <row r="365" spans="1:10" s="132" customFormat="1" x14ac:dyDescent="0.25">
      <c r="A365" t="s">
        <v>238</v>
      </c>
      <c r="B365" s="168" t="s">
        <v>497</v>
      </c>
      <c r="C365" s="1" t="s">
        <v>498</v>
      </c>
      <c r="D365" s="1" t="s">
        <v>499</v>
      </c>
      <c r="E365" s="1" t="s">
        <v>11</v>
      </c>
      <c r="F365"/>
      <c r="G365" s="1">
        <v>7</v>
      </c>
      <c r="H365" s="98">
        <v>45000</v>
      </c>
      <c r="I365" s="98">
        <f t="shared" si="20"/>
        <v>110000</v>
      </c>
      <c r="J365"/>
    </row>
    <row r="366" spans="1:10" s="132" customFormat="1" x14ac:dyDescent="0.25">
      <c r="A366" t="s">
        <v>238</v>
      </c>
      <c r="B366" s="168" t="s">
        <v>523</v>
      </c>
      <c r="C366" s="1" t="s">
        <v>233</v>
      </c>
      <c r="D366" s="1" t="s">
        <v>992</v>
      </c>
      <c r="E366" s="1" t="s">
        <v>11</v>
      </c>
      <c r="F366"/>
      <c r="G366" s="1">
        <v>1</v>
      </c>
      <c r="H366" s="1">
        <v>45000</v>
      </c>
      <c r="I366" s="98">
        <f t="shared" si="20"/>
        <v>110000</v>
      </c>
      <c r="J366"/>
    </row>
    <row r="367" spans="1:10" x14ac:dyDescent="0.25">
      <c r="A367" t="s">
        <v>238</v>
      </c>
      <c r="B367" s="168" t="s">
        <v>621</v>
      </c>
      <c r="D367" s="1" t="s">
        <v>1943</v>
      </c>
      <c r="E367" s="1" t="s">
        <v>11</v>
      </c>
      <c r="G367" s="1">
        <v>3</v>
      </c>
      <c r="H367" s="98">
        <v>35000</v>
      </c>
      <c r="I367" s="98">
        <f t="shared" si="20"/>
        <v>90000</v>
      </c>
    </row>
    <row r="368" spans="1:10" x14ac:dyDescent="0.25">
      <c r="A368" t="s">
        <v>486</v>
      </c>
      <c r="B368" s="168" t="s">
        <v>487</v>
      </c>
      <c r="C368" s="1" t="s">
        <v>488</v>
      </c>
      <c r="H368" s="98">
        <v>35000</v>
      </c>
      <c r="I368" s="98">
        <f t="shared" si="20"/>
        <v>90000</v>
      </c>
    </row>
    <row r="369" spans="1:11" s="135" customFormat="1" x14ac:dyDescent="0.25">
      <c r="A369" t="s">
        <v>75</v>
      </c>
      <c r="B369" s="168" t="s">
        <v>76</v>
      </c>
      <c r="C369" s="1">
        <v>1996</v>
      </c>
      <c r="D369" s="1">
        <v>119</v>
      </c>
      <c r="E369" s="1" t="s">
        <v>11</v>
      </c>
      <c r="F369"/>
      <c r="G369" s="1">
        <v>6</v>
      </c>
      <c r="H369" s="98">
        <v>55000</v>
      </c>
      <c r="I369" s="98">
        <f t="shared" si="20"/>
        <v>130000</v>
      </c>
      <c r="J369"/>
    </row>
    <row r="370" spans="1:11" x14ac:dyDescent="0.25">
      <c r="A370" t="s">
        <v>75</v>
      </c>
      <c r="B370" s="168" t="s">
        <v>77</v>
      </c>
      <c r="D370" s="1">
        <v>118</v>
      </c>
      <c r="E370" s="1" t="s">
        <v>11</v>
      </c>
      <c r="G370" s="1">
        <v>2</v>
      </c>
      <c r="H370" s="98"/>
      <c r="I370" s="98"/>
    </row>
    <row r="371" spans="1:11" s="135" customFormat="1" x14ac:dyDescent="0.25">
      <c r="A371" s="135" t="s">
        <v>195</v>
      </c>
      <c r="B371" s="166" t="s">
        <v>196</v>
      </c>
      <c r="C371" s="136" t="s">
        <v>197</v>
      </c>
      <c r="D371" s="136" t="s">
        <v>1945</v>
      </c>
      <c r="E371" s="136" t="s">
        <v>13</v>
      </c>
      <c r="F371" s="135" t="s">
        <v>1613</v>
      </c>
      <c r="G371" s="136">
        <v>0</v>
      </c>
      <c r="H371" s="137">
        <v>47000</v>
      </c>
      <c r="I371" s="137">
        <f t="shared" ref="I371:I397" si="21">H371*2+20000</f>
        <v>114000</v>
      </c>
    </row>
    <row r="372" spans="1:11" s="135" customFormat="1" x14ac:dyDescent="0.25">
      <c r="A372" t="s">
        <v>195</v>
      </c>
      <c r="B372" s="168" t="s">
        <v>199</v>
      </c>
      <c r="C372" s="1" t="s">
        <v>94</v>
      </c>
      <c r="D372" s="1" t="s">
        <v>1947</v>
      </c>
      <c r="E372" s="1" t="s">
        <v>11</v>
      </c>
      <c r="F372" s="1" t="s">
        <v>1950</v>
      </c>
      <c r="G372" s="1">
        <v>0</v>
      </c>
      <c r="H372" s="1">
        <v>66000</v>
      </c>
      <c r="I372" s="98">
        <f t="shared" si="21"/>
        <v>152000</v>
      </c>
      <c r="J372"/>
    </row>
    <row r="373" spans="1:11" x14ac:dyDescent="0.25">
      <c r="A373" s="135" t="s">
        <v>195</v>
      </c>
      <c r="B373" s="166" t="s">
        <v>284</v>
      </c>
      <c r="C373" s="136" t="s">
        <v>1993</v>
      </c>
      <c r="D373" s="136" t="s">
        <v>2060</v>
      </c>
      <c r="E373" s="136" t="s">
        <v>13</v>
      </c>
      <c r="F373" s="136" t="s">
        <v>215</v>
      </c>
      <c r="G373" s="136">
        <v>1</v>
      </c>
      <c r="H373" s="137">
        <v>30000</v>
      </c>
      <c r="I373" s="137">
        <f t="shared" si="21"/>
        <v>80000</v>
      </c>
      <c r="J373" s="135"/>
    </row>
    <row r="374" spans="1:11" x14ac:dyDescent="0.25">
      <c r="A374" t="s">
        <v>195</v>
      </c>
      <c r="B374" s="168" t="s">
        <v>286</v>
      </c>
      <c r="C374" s="1" t="s">
        <v>2020</v>
      </c>
      <c r="D374" s="1" t="s">
        <v>369</v>
      </c>
      <c r="E374" s="1" t="s">
        <v>11</v>
      </c>
      <c r="G374" s="1">
        <v>0</v>
      </c>
      <c r="H374" s="1">
        <v>51000</v>
      </c>
      <c r="I374" s="98">
        <f t="shared" si="21"/>
        <v>122000</v>
      </c>
    </row>
    <row r="375" spans="1:11" x14ac:dyDescent="0.25">
      <c r="A375" t="s">
        <v>195</v>
      </c>
      <c r="B375" s="168" t="s">
        <v>313</v>
      </c>
      <c r="C375" s="1" t="s">
        <v>10</v>
      </c>
      <c r="E375" s="1" t="s">
        <v>13</v>
      </c>
      <c r="H375" s="1">
        <v>26000</v>
      </c>
      <c r="I375" s="98">
        <f t="shared" si="21"/>
        <v>72000</v>
      </c>
      <c r="K375" s="125"/>
    </row>
    <row r="376" spans="1:11" x14ac:dyDescent="0.25">
      <c r="A376" t="s">
        <v>195</v>
      </c>
      <c r="B376" s="168" t="s">
        <v>489</v>
      </c>
      <c r="C376" s="1" t="s">
        <v>54</v>
      </c>
      <c r="H376" s="1">
        <v>60000</v>
      </c>
      <c r="I376" s="1">
        <f t="shared" si="21"/>
        <v>140000</v>
      </c>
    </row>
    <row r="377" spans="1:11" x14ac:dyDescent="0.25">
      <c r="A377" s="135" t="s">
        <v>195</v>
      </c>
      <c r="B377" s="166" t="s">
        <v>2019</v>
      </c>
      <c r="C377" s="136" t="s">
        <v>59</v>
      </c>
      <c r="D377" s="136" t="s">
        <v>353</v>
      </c>
      <c r="E377" s="136" t="s">
        <v>13</v>
      </c>
      <c r="F377" s="135" t="s">
        <v>1988</v>
      </c>
      <c r="G377" s="136">
        <v>1</v>
      </c>
      <c r="H377" s="137">
        <v>30000</v>
      </c>
      <c r="I377" s="137">
        <f t="shared" si="21"/>
        <v>80000</v>
      </c>
      <c r="J377" s="135"/>
    </row>
    <row r="378" spans="1:11" s="135" customFormat="1" x14ac:dyDescent="0.25">
      <c r="A378" t="s">
        <v>195</v>
      </c>
      <c r="B378" s="168" t="s">
        <v>670</v>
      </c>
      <c r="C378" s="1" t="s">
        <v>19</v>
      </c>
      <c r="D378" s="1"/>
      <c r="E378" s="1" t="s">
        <v>11</v>
      </c>
      <c r="F378"/>
      <c r="G378" s="1">
        <v>0</v>
      </c>
      <c r="H378" s="1">
        <v>60000</v>
      </c>
      <c r="I378" s="1">
        <f t="shared" si="21"/>
        <v>140000</v>
      </c>
      <c r="J378"/>
    </row>
    <row r="379" spans="1:11" x14ac:dyDescent="0.25">
      <c r="A379" s="135" t="s">
        <v>195</v>
      </c>
      <c r="B379" s="166" t="s">
        <v>671</v>
      </c>
      <c r="C379" s="136" t="s">
        <v>54</v>
      </c>
      <c r="D379" s="136" t="s">
        <v>369</v>
      </c>
      <c r="E379" s="136" t="s">
        <v>11</v>
      </c>
      <c r="F379" s="135"/>
      <c r="G379" s="136">
        <v>1</v>
      </c>
      <c r="H379" s="137">
        <v>63000</v>
      </c>
      <c r="I379" s="137">
        <f t="shared" si="21"/>
        <v>146000</v>
      </c>
      <c r="J379" s="135"/>
    </row>
    <row r="380" spans="1:11" x14ac:dyDescent="0.25">
      <c r="A380" s="135" t="s">
        <v>195</v>
      </c>
      <c r="B380" s="166" t="s">
        <v>674</v>
      </c>
      <c r="C380" s="136" t="s">
        <v>116</v>
      </c>
      <c r="D380" s="136" t="s">
        <v>80</v>
      </c>
      <c r="E380" s="136" t="s">
        <v>13</v>
      </c>
      <c r="F380" s="136" t="s">
        <v>676</v>
      </c>
      <c r="G380" s="136">
        <v>1</v>
      </c>
      <c r="H380" s="137">
        <v>35000</v>
      </c>
      <c r="I380" s="137">
        <f t="shared" si="21"/>
        <v>90000</v>
      </c>
      <c r="J380" s="135"/>
    </row>
    <row r="381" spans="1:11" x14ac:dyDescent="0.25">
      <c r="A381" s="135" t="s">
        <v>195</v>
      </c>
      <c r="B381" s="166" t="s">
        <v>674</v>
      </c>
      <c r="C381" s="136" t="s">
        <v>677</v>
      </c>
      <c r="D381" s="136" t="s">
        <v>80</v>
      </c>
      <c r="E381" s="136" t="s">
        <v>13</v>
      </c>
      <c r="F381" s="136" t="s">
        <v>678</v>
      </c>
      <c r="G381" s="136">
        <v>1</v>
      </c>
      <c r="H381" s="137">
        <v>30000</v>
      </c>
      <c r="I381" s="137">
        <f t="shared" si="21"/>
        <v>80000</v>
      </c>
      <c r="J381" s="135"/>
    </row>
    <row r="382" spans="1:11" s="135" customFormat="1" x14ac:dyDescent="0.25">
      <c r="A382" s="135" t="s">
        <v>200</v>
      </c>
      <c r="B382" s="166" t="s">
        <v>201</v>
      </c>
      <c r="C382" s="136" t="s">
        <v>197</v>
      </c>
      <c r="D382" s="136" t="s">
        <v>1947</v>
      </c>
      <c r="E382" s="136" t="s">
        <v>11</v>
      </c>
      <c r="G382" s="136">
        <v>0</v>
      </c>
      <c r="H382" s="137">
        <v>55000</v>
      </c>
      <c r="I382" s="137">
        <f t="shared" si="21"/>
        <v>130000</v>
      </c>
    </row>
    <row r="383" spans="1:11" x14ac:dyDescent="0.25">
      <c r="A383" t="s">
        <v>200</v>
      </c>
      <c r="B383" s="168" t="s">
        <v>634</v>
      </c>
      <c r="C383" s="1" t="s">
        <v>635</v>
      </c>
      <c r="E383" s="1" t="s">
        <v>11</v>
      </c>
      <c r="G383" s="1">
        <v>0</v>
      </c>
      <c r="H383" s="98">
        <v>60000</v>
      </c>
      <c r="I383" s="98">
        <f t="shared" si="21"/>
        <v>140000</v>
      </c>
    </row>
    <row r="384" spans="1:11" x14ac:dyDescent="0.25">
      <c r="A384" t="s">
        <v>200</v>
      </c>
      <c r="B384" s="168" t="s">
        <v>662</v>
      </c>
      <c r="C384" s="1" t="s">
        <v>663</v>
      </c>
      <c r="E384" s="1" t="s">
        <v>11</v>
      </c>
      <c r="G384" s="1">
        <v>1</v>
      </c>
      <c r="H384" s="98">
        <v>43000</v>
      </c>
      <c r="I384" s="98">
        <f t="shared" si="21"/>
        <v>106000</v>
      </c>
    </row>
    <row r="385" spans="1:10" s="135" customFormat="1" ht="18" customHeight="1" x14ac:dyDescent="0.25">
      <c r="A385" s="135" t="s">
        <v>200</v>
      </c>
      <c r="B385" s="166" t="s">
        <v>665</v>
      </c>
      <c r="C385" s="136" t="s">
        <v>666</v>
      </c>
      <c r="D385" s="136" t="s">
        <v>675</v>
      </c>
      <c r="E385" s="136" t="s">
        <v>11</v>
      </c>
      <c r="G385" s="136">
        <v>1</v>
      </c>
      <c r="H385" s="137">
        <v>35000</v>
      </c>
      <c r="I385" s="137">
        <f t="shared" si="21"/>
        <v>90000</v>
      </c>
    </row>
    <row r="386" spans="1:10" s="135" customFormat="1" x14ac:dyDescent="0.25">
      <c r="A386" t="s">
        <v>200</v>
      </c>
      <c r="B386" s="168" t="s">
        <v>667</v>
      </c>
      <c r="C386" s="1" t="s">
        <v>668</v>
      </c>
      <c r="D386" s="1" t="s">
        <v>369</v>
      </c>
      <c r="E386" s="1" t="s">
        <v>11</v>
      </c>
      <c r="F386"/>
      <c r="G386" s="1">
        <v>0</v>
      </c>
      <c r="H386" s="98">
        <v>36000</v>
      </c>
      <c r="I386" s="98">
        <f t="shared" si="21"/>
        <v>92000</v>
      </c>
      <c r="J386"/>
    </row>
    <row r="387" spans="1:10" x14ac:dyDescent="0.25">
      <c r="A387" t="s">
        <v>200</v>
      </c>
      <c r="B387" s="168" t="s">
        <v>669</v>
      </c>
      <c r="C387" s="1" t="s">
        <v>59</v>
      </c>
      <c r="D387" s="1" t="s">
        <v>2023</v>
      </c>
      <c r="E387" s="1" t="s">
        <v>11</v>
      </c>
      <c r="G387" s="1">
        <v>0</v>
      </c>
      <c r="H387" s="98">
        <v>38000</v>
      </c>
      <c r="I387" s="98">
        <f t="shared" si="21"/>
        <v>96000</v>
      </c>
    </row>
    <row r="388" spans="1:10" s="135" customFormat="1" x14ac:dyDescent="0.25">
      <c r="A388" t="s">
        <v>200</v>
      </c>
      <c r="B388" s="168" t="s">
        <v>672</v>
      </c>
      <c r="C388" s="1" t="s">
        <v>31</v>
      </c>
      <c r="D388" s="1" t="s">
        <v>369</v>
      </c>
      <c r="E388" s="1" t="s">
        <v>11</v>
      </c>
      <c r="F388" t="s">
        <v>673</v>
      </c>
      <c r="G388" s="1">
        <v>0</v>
      </c>
      <c r="H388" s="98">
        <v>36000</v>
      </c>
      <c r="I388" s="98">
        <f t="shared" si="21"/>
        <v>92000</v>
      </c>
      <c r="J388"/>
    </row>
    <row r="389" spans="1:10" x14ac:dyDescent="0.25">
      <c r="A389" s="135" t="s">
        <v>200</v>
      </c>
      <c r="B389" s="166" t="s">
        <v>679</v>
      </c>
      <c r="C389" s="136" t="s">
        <v>427</v>
      </c>
      <c r="D389" s="136" t="s">
        <v>1949</v>
      </c>
      <c r="E389" s="136" t="s">
        <v>11</v>
      </c>
      <c r="F389" s="135" t="s">
        <v>537</v>
      </c>
      <c r="G389" s="136">
        <v>1</v>
      </c>
      <c r="H389" s="137">
        <v>44000</v>
      </c>
      <c r="I389" s="137">
        <f t="shared" si="21"/>
        <v>108000</v>
      </c>
      <c r="J389" s="129"/>
    </row>
    <row r="390" spans="1:10" s="135" customFormat="1" x14ac:dyDescent="0.25">
      <c r="A390" t="s">
        <v>440</v>
      </c>
      <c r="B390" s="168" t="s">
        <v>441</v>
      </c>
      <c r="C390" s="1" t="s">
        <v>40</v>
      </c>
      <c r="D390" s="1" t="s">
        <v>442</v>
      </c>
      <c r="E390" s="102" t="s">
        <v>443</v>
      </c>
      <c r="F390"/>
      <c r="G390" s="1">
        <v>2</v>
      </c>
      <c r="H390" s="98">
        <v>37000</v>
      </c>
      <c r="I390" s="98">
        <f t="shared" si="21"/>
        <v>94000</v>
      </c>
      <c r="J390"/>
    </row>
    <row r="391" spans="1:10" s="135" customFormat="1" x14ac:dyDescent="0.25">
      <c r="A391" t="s">
        <v>440</v>
      </c>
      <c r="B391" s="168" t="s">
        <v>441</v>
      </c>
      <c r="C391" s="1">
        <v>2018</v>
      </c>
      <c r="D391" s="1" t="s">
        <v>442</v>
      </c>
      <c r="E391" s="102" t="s">
        <v>444</v>
      </c>
      <c r="F391"/>
      <c r="G391" s="1">
        <v>1</v>
      </c>
      <c r="H391" s="98">
        <v>45000</v>
      </c>
      <c r="I391" s="98">
        <f t="shared" si="21"/>
        <v>110000</v>
      </c>
      <c r="J391"/>
    </row>
    <row r="392" spans="1:10" x14ac:dyDescent="0.25">
      <c r="A392" s="135" t="s">
        <v>123</v>
      </c>
      <c r="B392" s="166" t="s">
        <v>124</v>
      </c>
      <c r="C392" s="136" t="s">
        <v>125</v>
      </c>
      <c r="D392" s="136" t="s">
        <v>1948</v>
      </c>
      <c r="E392" s="136" t="s">
        <v>11</v>
      </c>
      <c r="F392" s="136" t="s">
        <v>127</v>
      </c>
      <c r="G392" s="136">
        <v>1</v>
      </c>
      <c r="H392" s="137">
        <v>30000</v>
      </c>
      <c r="I392" s="137">
        <f t="shared" si="21"/>
        <v>80000</v>
      </c>
      <c r="J392" s="135"/>
    </row>
    <row r="393" spans="1:10" x14ac:dyDescent="0.25">
      <c r="A393" t="s">
        <v>123</v>
      </c>
      <c r="B393" s="168" t="s">
        <v>300</v>
      </c>
      <c r="C393" s="1" t="s">
        <v>301</v>
      </c>
      <c r="E393" s="1" t="s">
        <v>11</v>
      </c>
      <c r="G393" s="1">
        <v>0</v>
      </c>
      <c r="H393" s="1">
        <v>63000</v>
      </c>
      <c r="I393" s="1">
        <f t="shared" si="21"/>
        <v>146000</v>
      </c>
    </row>
    <row r="394" spans="1:10" x14ac:dyDescent="0.25">
      <c r="A394" t="s">
        <v>123</v>
      </c>
      <c r="B394" s="168" t="s">
        <v>614</v>
      </c>
      <c r="E394" s="1" t="s">
        <v>11</v>
      </c>
      <c r="F394" s="1"/>
      <c r="H394" s="98">
        <v>53000</v>
      </c>
      <c r="I394" s="98">
        <f t="shared" si="21"/>
        <v>126000</v>
      </c>
    </row>
    <row r="395" spans="1:10" s="135" customFormat="1" x14ac:dyDescent="0.25">
      <c r="A395" t="s">
        <v>123</v>
      </c>
      <c r="B395" s="168" t="s">
        <v>615</v>
      </c>
      <c r="C395" s="1"/>
      <c r="D395" s="1"/>
      <c r="E395" s="1" t="s">
        <v>11</v>
      </c>
      <c r="F395"/>
      <c r="G395" s="1">
        <v>0</v>
      </c>
      <c r="H395" s="1">
        <v>68000</v>
      </c>
      <c r="I395" s="98">
        <f t="shared" si="21"/>
        <v>156000</v>
      </c>
      <c r="J395"/>
    </row>
    <row r="396" spans="1:10" x14ac:dyDescent="0.25">
      <c r="A396" t="s">
        <v>123</v>
      </c>
      <c r="B396" s="168" t="s">
        <v>616</v>
      </c>
      <c r="C396" s="1">
        <v>1993</v>
      </c>
      <c r="E396" s="1" t="s">
        <v>11</v>
      </c>
      <c r="G396" s="1">
        <v>0</v>
      </c>
      <c r="H396" s="98">
        <v>68000</v>
      </c>
      <c r="I396" s="98">
        <f t="shared" si="21"/>
        <v>156000</v>
      </c>
    </row>
    <row r="397" spans="1:10" s="135" customFormat="1" x14ac:dyDescent="0.25">
      <c r="A397" t="s">
        <v>78</v>
      </c>
      <c r="B397" s="168" t="s">
        <v>79</v>
      </c>
      <c r="C397" s="1" t="s">
        <v>10</v>
      </c>
      <c r="D397" s="1" t="s">
        <v>80</v>
      </c>
      <c r="E397" s="1" t="s">
        <v>11</v>
      </c>
      <c r="F397"/>
      <c r="G397" s="1">
        <v>0</v>
      </c>
      <c r="H397" s="1">
        <v>44000</v>
      </c>
      <c r="I397" s="98">
        <f t="shared" si="21"/>
        <v>108000</v>
      </c>
      <c r="J397"/>
    </row>
    <row r="398" spans="1:10" s="135" customFormat="1" x14ac:dyDescent="0.25">
      <c r="A398"/>
      <c r="B398" s="168" t="s">
        <v>67</v>
      </c>
      <c r="C398" s="1"/>
      <c r="D398" s="1"/>
      <c r="E398" s="1"/>
      <c r="F398"/>
      <c r="G398" s="1"/>
      <c r="H398" s="1"/>
      <c r="I398" s="2"/>
      <c r="J398"/>
    </row>
    <row r="399" spans="1:10" s="135" customFormat="1" x14ac:dyDescent="0.25">
      <c r="A399"/>
      <c r="B399" s="168" t="s">
        <v>490</v>
      </c>
      <c r="C399" s="1"/>
      <c r="D399" s="1"/>
      <c r="E399" s="1"/>
      <c r="F399"/>
      <c r="G399" s="1"/>
      <c r="H399" s="1"/>
      <c r="I399" s="2"/>
      <c r="J399"/>
    </row>
    <row r="400" spans="1:10" x14ac:dyDescent="0.25">
      <c r="B400" s="168" t="s">
        <v>494</v>
      </c>
      <c r="D400" s="1">
        <v>95</v>
      </c>
      <c r="G400" s="1">
        <v>3</v>
      </c>
    </row>
    <row r="401" spans="1:39" s="135" customFormat="1" x14ac:dyDescent="0.25">
      <c r="A401"/>
      <c r="B401" s="168" t="s">
        <v>494</v>
      </c>
      <c r="C401" s="1"/>
      <c r="D401" s="1"/>
      <c r="E401" s="1"/>
      <c r="F401"/>
      <c r="G401" s="1"/>
      <c r="H401" s="1"/>
      <c r="I401" s="2"/>
      <c r="J401"/>
    </row>
    <row r="402" spans="1:39" x14ac:dyDescent="0.25">
      <c r="B402" s="169"/>
      <c r="H402" s="98"/>
      <c r="I402" s="98"/>
    </row>
    <row r="403" spans="1:39" s="135" customFormat="1" x14ac:dyDescent="0.25">
      <c r="A403" s="135" t="s">
        <v>422</v>
      </c>
      <c r="B403" s="171" t="s">
        <v>680</v>
      </c>
      <c r="C403" s="136" t="s">
        <v>681</v>
      </c>
      <c r="D403" s="136" t="s">
        <v>1041</v>
      </c>
      <c r="E403" s="136" t="s">
        <v>11</v>
      </c>
      <c r="G403" s="136">
        <v>1</v>
      </c>
      <c r="H403" s="136">
        <v>63000</v>
      </c>
      <c r="I403" s="137">
        <f t="shared" ref="I403:I436" si="22">H403*2+20000</f>
        <v>146000</v>
      </c>
    </row>
    <row r="404" spans="1:39" x14ac:dyDescent="0.25">
      <c r="A404" t="s">
        <v>62</v>
      </c>
      <c r="B404" s="168" t="s">
        <v>683</v>
      </c>
      <c r="C404" s="1">
        <v>1998</v>
      </c>
      <c r="E404" s="1" t="s">
        <v>11</v>
      </c>
      <c r="G404" s="1">
        <v>0</v>
      </c>
      <c r="H404" s="1">
        <v>41000</v>
      </c>
      <c r="I404" s="98">
        <f t="shared" si="22"/>
        <v>102000</v>
      </c>
    </row>
    <row r="405" spans="1:39" x14ac:dyDescent="0.25">
      <c r="A405" t="s">
        <v>684</v>
      </c>
      <c r="B405" s="169" t="s">
        <v>685</v>
      </c>
      <c r="C405" s="1" t="s">
        <v>1311</v>
      </c>
      <c r="D405" s="1" t="s">
        <v>1965</v>
      </c>
      <c r="E405" s="1" t="s">
        <v>11</v>
      </c>
      <c r="F405" t="s">
        <v>1612</v>
      </c>
      <c r="G405" s="1">
        <v>2</v>
      </c>
      <c r="H405" s="98">
        <v>65000</v>
      </c>
      <c r="I405" s="98">
        <f t="shared" si="22"/>
        <v>150000</v>
      </c>
    </row>
    <row r="406" spans="1:39" s="135" customFormat="1" x14ac:dyDescent="0.25">
      <c r="A406" s="135" t="s">
        <v>144</v>
      </c>
      <c r="B406" s="166" t="s">
        <v>686</v>
      </c>
      <c r="C406" s="136" t="s">
        <v>29</v>
      </c>
      <c r="D406" s="136" t="s">
        <v>1901</v>
      </c>
      <c r="E406" s="136" t="s">
        <v>13</v>
      </c>
      <c r="F406" s="136" t="s">
        <v>24</v>
      </c>
      <c r="G406" s="136">
        <v>1</v>
      </c>
      <c r="H406" s="136">
        <v>49000</v>
      </c>
      <c r="I406" s="136">
        <f t="shared" si="22"/>
        <v>118000</v>
      </c>
    </row>
    <row r="407" spans="1:39" x14ac:dyDescent="0.25">
      <c r="A407" t="s">
        <v>687</v>
      </c>
      <c r="B407" s="168" t="s">
        <v>686</v>
      </c>
      <c r="C407" s="1" t="s">
        <v>2011</v>
      </c>
      <c r="D407" s="1" t="s">
        <v>641</v>
      </c>
      <c r="E407" s="1" t="s">
        <v>11</v>
      </c>
      <c r="G407" s="1">
        <v>0</v>
      </c>
      <c r="H407" s="1">
        <v>50000</v>
      </c>
      <c r="I407" s="1">
        <f t="shared" si="22"/>
        <v>120000</v>
      </c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</row>
    <row r="408" spans="1:39" s="147" customFormat="1" x14ac:dyDescent="0.25">
      <c r="A408" s="135" t="s">
        <v>179</v>
      </c>
      <c r="B408" s="166" t="s">
        <v>689</v>
      </c>
      <c r="C408" s="136" t="s">
        <v>345</v>
      </c>
      <c r="D408" s="136" t="s">
        <v>1877</v>
      </c>
      <c r="E408" s="136" t="s">
        <v>13</v>
      </c>
      <c r="F408" s="135"/>
      <c r="G408" s="136">
        <v>1</v>
      </c>
      <c r="H408" s="137">
        <v>30000</v>
      </c>
      <c r="I408" s="137">
        <f t="shared" si="22"/>
        <v>80000</v>
      </c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  <c r="AL408" s="135"/>
      <c r="AM408" s="135"/>
    </row>
    <row r="409" spans="1:39" x14ac:dyDescent="0.25">
      <c r="A409" t="s">
        <v>179</v>
      </c>
      <c r="B409" s="168" t="s">
        <v>690</v>
      </c>
      <c r="C409" s="1" t="s">
        <v>377</v>
      </c>
      <c r="D409" s="1" t="s">
        <v>1093</v>
      </c>
      <c r="E409" s="1" t="s">
        <v>11</v>
      </c>
      <c r="G409" s="1">
        <v>0</v>
      </c>
      <c r="H409" s="98">
        <v>58000</v>
      </c>
      <c r="I409" s="98">
        <f t="shared" si="22"/>
        <v>136000</v>
      </c>
    </row>
    <row r="410" spans="1:39" x14ac:dyDescent="0.25">
      <c r="A410" t="s">
        <v>179</v>
      </c>
      <c r="B410" s="168" t="s">
        <v>691</v>
      </c>
      <c r="C410" s="1" t="s">
        <v>108</v>
      </c>
      <c r="D410" s="1" t="s">
        <v>573</v>
      </c>
      <c r="E410" s="1" t="s">
        <v>11</v>
      </c>
      <c r="G410" s="1">
        <v>0</v>
      </c>
      <c r="H410" s="1">
        <v>39000</v>
      </c>
      <c r="I410" s="98">
        <f t="shared" si="22"/>
        <v>98000</v>
      </c>
    </row>
    <row r="411" spans="1:39" s="135" customFormat="1" x14ac:dyDescent="0.25">
      <c r="A411" s="135" t="s">
        <v>39</v>
      </c>
      <c r="B411" s="166" t="s">
        <v>692</v>
      </c>
      <c r="C411" s="136" t="s">
        <v>176</v>
      </c>
      <c r="D411" s="136" t="s">
        <v>98</v>
      </c>
      <c r="E411" s="136" t="s">
        <v>11</v>
      </c>
      <c r="G411" s="136">
        <v>2</v>
      </c>
      <c r="H411" s="137">
        <v>40000</v>
      </c>
      <c r="I411" s="137">
        <f t="shared" si="22"/>
        <v>100000</v>
      </c>
    </row>
    <row r="412" spans="1:39" x14ac:dyDescent="0.25">
      <c r="A412" t="s">
        <v>647</v>
      </c>
      <c r="B412" s="168" t="s">
        <v>693</v>
      </c>
      <c r="C412" s="1" t="s">
        <v>377</v>
      </c>
      <c r="E412" s="1" t="s">
        <v>11</v>
      </c>
      <c r="G412" s="1">
        <v>0</v>
      </c>
      <c r="H412" s="98">
        <v>77000</v>
      </c>
      <c r="I412" s="98">
        <f t="shared" si="22"/>
        <v>174000</v>
      </c>
      <c r="J412" s="99"/>
    </row>
    <row r="413" spans="1:39" x14ac:dyDescent="0.25">
      <c r="A413" t="s">
        <v>647</v>
      </c>
      <c r="B413" s="168" t="s">
        <v>694</v>
      </c>
      <c r="C413" s="1" t="s">
        <v>377</v>
      </c>
      <c r="E413" s="1" t="s">
        <v>11</v>
      </c>
      <c r="G413" s="1">
        <v>0</v>
      </c>
      <c r="H413" s="98">
        <v>80000</v>
      </c>
      <c r="I413" s="98">
        <f t="shared" si="22"/>
        <v>180000</v>
      </c>
    </row>
    <row r="414" spans="1:39" s="132" customFormat="1" x14ac:dyDescent="0.25">
      <c r="A414" s="132" t="s">
        <v>144</v>
      </c>
      <c r="B414" s="167" t="s">
        <v>695</v>
      </c>
      <c r="C414" s="133" t="s">
        <v>17</v>
      </c>
      <c r="D414" s="133" t="s">
        <v>80</v>
      </c>
      <c r="E414" s="133" t="s">
        <v>13</v>
      </c>
      <c r="F414" s="132" t="s">
        <v>1992</v>
      </c>
      <c r="G414" s="133">
        <v>1</v>
      </c>
      <c r="H414" s="133">
        <v>50000</v>
      </c>
      <c r="I414" s="134">
        <f t="shared" si="22"/>
        <v>120000</v>
      </c>
    </row>
    <row r="415" spans="1:39" x14ac:dyDescent="0.25">
      <c r="A415" t="s">
        <v>144</v>
      </c>
      <c r="B415" s="168" t="s">
        <v>697</v>
      </c>
      <c r="C415" s="1">
        <v>2007</v>
      </c>
      <c r="D415" s="1" t="s">
        <v>698</v>
      </c>
      <c r="E415" s="1" t="s">
        <v>13</v>
      </c>
      <c r="F415" s="1" t="s">
        <v>637</v>
      </c>
      <c r="G415" s="1">
        <v>2</v>
      </c>
      <c r="H415" s="98">
        <v>32000</v>
      </c>
      <c r="I415" s="98">
        <f t="shared" si="22"/>
        <v>84000</v>
      </c>
    </row>
    <row r="416" spans="1:39" s="135" customFormat="1" x14ac:dyDescent="0.25">
      <c r="A416" s="135" t="s">
        <v>699</v>
      </c>
      <c r="B416" s="166" t="s">
        <v>700</v>
      </c>
      <c r="C416" s="136" t="s">
        <v>262</v>
      </c>
      <c r="D416" s="136" t="s">
        <v>391</v>
      </c>
      <c r="E416" s="136" t="s">
        <v>11</v>
      </c>
      <c r="G416" s="136">
        <v>1</v>
      </c>
      <c r="H416" s="137">
        <v>54000</v>
      </c>
      <c r="I416" s="137">
        <f t="shared" si="22"/>
        <v>128000</v>
      </c>
    </row>
    <row r="417" spans="1:9" x14ac:dyDescent="0.25">
      <c r="A417" t="s">
        <v>144</v>
      </c>
      <c r="B417" s="168" t="s">
        <v>701</v>
      </c>
      <c r="C417" s="1" t="s">
        <v>17</v>
      </c>
      <c r="D417" s="1" t="s">
        <v>2024</v>
      </c>
      <c r="E417" s="1" t="s">
        <v>11</v>
      </c>
      <c r="G417" s="1">
        <v>0</v>
      </c>
      <c r="H417" s="98">
        <v>53000</v>
      </c>
      <c r="I417" s="98">
        <f t="shared" si="22"/>
        <v>126000</v>
      </c>
    </row>
    <row r="418" spans="1:9" s="135" customFormat="1" x14ac:dyDescent="0.25">
      <c r="A418" s="135" t="s">
        <v>144</v>
      </c>
      <c r="B418" s="166" t="s">
        <v>702</v>
      </c>
      <c r="C418" s="136" t="s">
        <v>703</v>
      </c>
      <c r="D418" s="136" t="s">
        <v>2063</v>
      </c>
      <c r="E418" s="136" t="s">
        <v>13</v>
      </c>
      <c r="G418" s="136">
        <v>2</v>
      </c>
      <c r="H418" s="136">
        <v>24000</v>
      </c>
      <c r="I418" s="137">
        <f t="shared" si="22"/>
        <v>68000</v>
      </c>
    </row>
    <row r="419" spans="1:9" x14ac:dyDescent="0.25">
      <c r="A419" t="s">
        <v>144</v>
      </c>
      <c r="B419" s="168" t="s">
        <v>704</v>
      </c>
      <c r="C419" s="1" t="s">
        <v>705</v>
      </c>
      <c r="D419" s="1" t="s">
        <v>675</v>
      </c>
      <c r="E419" s="1" t="s">
        <v>11</v>
      </c>
      <c r="F419" s="1"/>
      <c r="G419" s="1">
        <v>0</v>
      </c>
      <c r="H419" s="1">
        <v>40000</v>
      </c>
      <c r="I419" s="98">
        <f t="shared" si="22"/>
        <v>100000</v>
      </c>
    </row>
    <row r="420" spans="1:9" s="135" customFormat="1" x14ac:dyDescent="0.25">
      <c r="A420" s="135" t="s">
        <v>144</v>
      </c>
      <c r="B420" s="166" t="s">
        <v>706</v>
      </c>
      <c r="C420" s="136" t="s">
        <v>10</v>
      </c>
      <c r="D420" s="136" t="s">
        <v>2037</v>
      </c>
      <c r="E420" s="136" t="s">
        <v>11</v>
      </c>
      <c r="G420" s="136">
        <v>1</v>
      </c>
      <c r="H420" s="137">
        <v>44000</v>
      </c>
      <c r="I420" s="137">
        <f t="shared" si="22"/>
        <v>108000</v>
      </c>
    </row>
    <row r="421" spans="1:9" x14ac:dyDescent="0.25">
      <c r="A421" t="s">
        <v>707</v>
      </c>
      <c r="B421" s="168" t="s">
        <v>708</v>
      </c>
      <c r="C421" s="1" t="s">
        <v>29</v>
      </c>
      <c r="E421" s="1" t="s">
        <v>11</v>
      </c>
      <c r="G421" s="1">
        <v>0</v>
      </c>
      <c r="H421" s="1">
        <v>55000</v>
      </c>
      <c r="I421" s="98">
        <f t="shared" si="22"/>
        <v>130000</v>
      </c>
    </row>
    <row r="422" spans="1:9" s="132" customFormat="1" x14ac:dyDescent="0.25">
      <c r="A422" s="132" t="s">
        <v>709</v>
      </c>
      <c r="B422" s="167" t="s">
        <v>710</v>
      </c>
      <c r="C422" s="133" t="s">
        <v>29</v>
      </c>
      <c r="D422" s="133" t="s">
        <v>316</v>
      </c>
      <c r="E422" s="133" t="s">
        <v>11</v>
      </c>
      <c r="G422" s="133">
        <v>1</v>
      </c>
      <c r="H422" s="133">
        <v>53000</v>
      </c>
      <c r="I422" s="140">
        <f t="shared" si="22"/>
        <v>126000</v>
      </c>
    </row>
    <row r="423" spans="1:9" x14ac:dyDescent="0.25">
      <c r="A423" t="s">
        <v>712</v>
      </c>
      <c r="B423" s="168" t="s">
        <v>713</v>
      </c>
      <c r="C423" s="1" t="s">
        <v>40</v>
      </c>
      <c r="E423" s="1" t="s">
        <v>11</v>
      </c>
      <c r="G423" s="1">
        <v>0</v>
      </c>
      <c r="H423" s="98">
        <v>53000</v>
      </c>
      <c r="I423" s="1">
        <f t="shared" si="22"/>
        <v>126000</v>
      </c>
    </row>
    <row r="424" spans="1:9" x14ac:dyDescent="0.25">
      <c r="A424" t="s">
        <v>120</v>
      </c>
      <c r="B424" s="168" t="s">
        <v>714</v>
      </c>
      <c r="C424" s="1" t="s">
        <v>119</v>
      </c>
      <c r="D424" s="1" t="s">
        <v>227</v>
      </c>
      <c r="E424" s="1" t="s">
        <v>11</v>
      </c>
      <c r="G424" s="1">
        <v>0</v>
      </c>
      <c r="H424" s="1">
        <v>62000</v>
      </c>
      <c r="I424" s="1">
        <f t="shared" si="22"/>
        <v>144000</v>
      </c>
    </row>
    <row r="425" spans="1:9" x14ac:dyDescent="0.25">
      <c r="A425" t="s">
        <v>144</v>
      </c>
      <c r="B425" s="168" t="s">
        <v>715</v>
      </c>
      <c r="E425" s="1" t="s">
        <v>11</v>
      </c>
      <c r="G425" s="1">
        <v>0</v>
      </c>
      <c r="H425" s="98">
        <v>50000</v>
      </c>
      <c r="I425" s="98">
        <f t="shared" si="22"/>
        <v>120000</v>
      </c>
    </row>
    <row r="426" spans="1:9" x14ac:dyDescent="0.25">
      <c r="A426" t="s">
        <v>238</v>
      </c>
      <c r="B426" s="168" t="s">
        <v>716</v>
      </c>
      <c r="C426" s="1" t="s">
        <v>717</v>
      </c>
      <c r="E426" s="1" t="s">
        <v>11</v>
      </c>
      <c r="G426" s="1">
        <v>0</v>
      </c>
      <c r="H426" s="98">
        <v>45000</v>
      </c>
      <c r="I426" s="1">
        <f t="shared" si="22"/>
        <v>110000</v>
      </c>
    </row>
    <row r="427" spans="1:9" x14ac:dyDescent="0.25">
      <c r="A427" t="s">
        <v>238</v>
      </c>
      <c r="B427" s="168" t="s">
        <v>723</v>
      </c>
      <c r="C427" s="1" t="s">
        <v>468</v>
      </c>
      <c r="D427" s="1" t="s">
        <v>1279</v>
      </c>
      <c r="E427" s="1" t="s">
        <v>11</v>
      </c>
      <c r="G427" s="1">
        <v>0</v>
      </c>
      <c r="H427" s="1">
        <v>37000</v>
      </c>
      <c r="I427" s="98">
        <f t="shared" si="22"/>
        <v>94000</v>
      </c>
    </row>
    <row r="428" spans="1:9" s="135" customFormat="1" x14ac:dyDescent="0.25">
      <c r="A428" s="135" t="s">
        <v>238</v>
      </c>
      <c r="B428" s="166" t="s">
        <v>718</v>
      </c>
      <c r="C428" s="136" t="s">
        <v>720</v>
      </c>
      <c r="D428" s="136" t="s">
        <v>1945</v>
      </c>
      <c r="E428" s="136" t="s">
        <v>13</v>
      </c>
      <c r="F428" s="135" t="s">
        <v>2016</v>
      </c>
      <c r="G428" s="136">
        <v>1</v>
      </c>
      <c r="H428" s="137">
        <v>23000</v>
      </c>
      <c r="I428" s="137">
        <f t="shared" si="22"/>
        <v>66000</v>
      </c>
    </row>
    <row r="429" spans="1:9" s="100" customFormat="1" x14ac:dyDescent="0.25">
      <c r="A429" t="s">
        <v>238</v>
      </c>
      <c r="B429" s="168" t="s">
        <v>722</v>
      </c>
      <c r="C429" s="1" t="s">
        <v>119</v>
      </c>
      <c r="D429" s="1" t="s">
        <v>1945</v>
      </c>
      <c r="E429" s="1" t="s">
        <v>11</v>
      </c>
      <c r="F429"/>
      <c r="G429" s="1">
        <v>0</v>
      </c>
      <c r="H429" s="98">
        <v>50000</v>
      </c>
      <c r="I429" s="98">
        <f t="shared" si="22"/>
        <v>120000</v>
      </c>
    </row>
    <row r="430" spans="1:9" s="135" customFormat="1" x14ac:dyDescent="0.25">
      <c r="A430" s="135" t="s">
        <v>238</v>
      </c>
      <c r="B430" s="166" t="s">
        <v>721</v>
      </c>
      <c r="C430" s="136" t="s">
        <v>575</v>
      </c>
      <c r="D430" s="136" t="s">
        <v>1279</v>
      </c>
      <c r="E430" s="136" t="s">
        <v>11</v>
      </c>
      <c r="G430" s="136">
        <v>0</v>
      </c>
      <c r="H430" s="137">
        <v>40000</v>
      </c>
      <c r="I430" s="137">
        <f t="shared" si="22"/>
        <v>100000</v>
      </c>
    </row>
    <row r="431" spans="1:9" x14ac:dyDescent="0.25">
      <c r="A431" t="s">
        <v>238</v>
      </c>
      <c r="B431" s="168" t="s">
        <v>718</v>
      </c>
      <c r="C431" s="1" t="s">
        <v>719</v>
      </c>
      <c r="D431" s="1" t="s">
        <v>1279</v>
      </c>
      <c r="E431" s="1" t="s">
        <v>11</v>
      </c>
      <c r="G431" s="1">
        <v>0</v>
      </c>
      <c r="H431" s="98">
        <v>35000</v>
      </c>
      <c r="I431" s="98">
        <f t="shared" si="22"/>
        <v>90000</v>
      </c>
    </row>
    <row r="432" spans="1:9" s="135" customFormat="1" x14ac:dyDescent="0.25">
      <c r="A432" s="129" t="s">
        <v>238</v>
      </c>
      <c r="B432" s="172" t="s">
        <v>718</v>
      </c>
      <c r="C432" s="130" t="s">
        <v>276</v>
      </c>
      <c r="D432" s="136" t="s">
        <v>1279</v>
      </c>
      <c r="E432" s="130" t="s">
        <v>11</v>
      </c>
      <c r="F432" s="129"/>
      <c r="G432" s="130">
        <v>1</v>
      </c>
      <c r="H432" s="130">
        <v>39000</v>
      </c>
      <c r="I432" s="131">
        <f t="shared" si="22"/>
        <v>98000</v>
      </c>
    </row>
    <row r="433" spans="1:39" x14ac:dyDescent="0.25">
      <c r="A433" t="s">
        <v>238</v>
      </c>
      <c r="B433" s="168" t="s">
        <v>718</v>
      </c>
      <c r="C433" s="1">
        <v>1980</v>
      </c>
      <c r="D433" s="1">
        <v>108</v>
      </c>
      <c r="E433" s="1" t="s">
        <v>11</v>
      </c>
      <c r="G433" s="1">
        <v>1</v>
      </c>
      <c r="H433" s="1">
        <v>30000</v>
      </c>
      <c r="I433" s="98">
        <f t="shared" si="22"/>
        <v>80000</v>
      </c>
    </row>
    <row r="434" spans="1:39" s="135" customFormat="1" x14ac:dyDescent="0.25">
      <c r="A434" s="135" t="s">
        <v>238</v>
      </c>
      <c r="B434" s="166" t="s">
        <v>724</v>
      </c>
      <c r="C434" s="136" t="s">
        <v>119</v>
      </c>
      <c r="D434" s="136" t="s">
        <v>1945</v>
      </c>
      <c r="E434" s="136" t="s">
        <v>13</v>
      </c>
      <c r="G434" s="136">
        <v>0</v>
      </c>
      <c r="H434" s="137">
        <v>40000</v>
      </c>
      <c r="I434" s="137">
        <f t="shared" si="22"/>
        <v>100000</v>
      </c>
    </row>
    <row r="435" spans="1:39" s="135" customFormat="1" x14ac:dyDescent="0.25">
      <c r="A435" s="135" t="s">
        <v>238</v>
      </c>
      <c r="B435" s="166" t="s">
        <v>725</v>
      </c>
      <c r="C435" s="136" t="s">
        <v>575</v>
      </c>
      <c r="D435" s="136" t="s">
        <v>1945</v>
      </c>
      <c r="E435" s="136" t="s">
        <v>13</v>
      </c>
      <c r="F435" s="135" t="s">
        <v>537</v>
      </c>
      <c r="G435" s="136">
        <v>0</v>
      </c>
      <c r="H435" s="137">
        <v>26000</v>
      </c>
      <c r="I435" s="137">
        <f t="shared" si="22"/>
        <v>72000</v>
      </c>
    </row>
    <row r="436" spans="1:39" s="103" customFormat="1" ht="18" customHeight="1" x14ac:dyDescent="0.25">
      <c r="A436" s="103" t="s">
        <v>18</v>
      </c>
      <c r="B436" s="173" t="s">
        <v>726</v>
      </c>
      <c r="C436" s="105">
        <v>1984</v>
      </c>
      <c r="D436" s="105" t="s">
        <v>391</v>
      </c>
      <c r="E436" s="105" t="s">
        <v>11</v>
      </c>
      <c r="G436" s="105">
        <v>1</v>
      </c>
      <c r="H436" s="105">
        <v>46000</v>
      </c>
      <c r="I436" s="138">
        <f t="shared" si="22"/>
        <v>112000</v>
      </c>
    </row>
    <row r="437" spans="1:39" s="135" customFormat="1" x14ac:dyDescent="0.25">
      <c r="A437" s="135" t="s">
        <v>183</v>
      </c>
      <c r="B437" s="166" t="s">
        <v>996</v>
      </c>
      <c r="C437" s="136" t="s">
        <v>287</v>
      </c>
      <c r="D437" s="136" t="s">
        <v>1945</v>
      </c>
      <c r="E437" s="136" t="s">
        <v>13</v>
      </c>
      <c r="F437" s="135" t="s">
        <v>993</v>
      </c>
      <c r="G437" s="136">
        <v>2</v>
      </c>
      <c r="H437" s="136">
        <v>30000</v>
      </c>
      <c r="I437" s="137">
        <f>H437*2+20000</f>
        <v>80000</v>
      </c>
    </row>
    <row r="438" spans="1:39" s="135" customFormat="1" x14ac:dyDescent="0.25">
      <c r="A438" s="135" t="s">
        <v>994</v>
      </c>
      <c r="B438" s="166" t="s">
        <v>1561</v>
      </c>
      <c r="C438" s="136" t="s">
        <v>130</v>
      </c>
      <c r="D438" s="136" t="s">
        <v>559</v>
      </c>
      <c r="E438" s="136" t="s">
        <v>11</v>
      </c>
      <c r="G438" s="136">
        <v>1</v>
      </c>
      <c r="H438" s="137">
        <v>43000</v>
      </c>
      <c r="I438" s="137">
        <f>H438*2+20000</f>
        <v>106000</v>
      </c>
    </row>
    <row r="439" spans="1:39" x14ac:dyDescent="0.25">
      <c r="A439" t="s">
        <v>120</v>
      </c>
      <c r="B439" s="168" t="s">
        <v>731</v>
      </c>
      <c r="C439" s="1">
        <v>2010</v>
      </c>
      <c r="G439" s="1">
        <v>0</v>
      </c>
      <c r="I439" s="1"/>
    </row>
    <row r="440" spans="1:39" x14ac:dyDescent="0.25">
      <c r="A440" t="s">
        <v>120</v>
      </c>
      <c r="B440" s="168" t="s">
        <v>732</v>
      </c>
      <c r="C440" s="1" t="s">
        <v>513</v>
      </c>
      <c r="D440" s="1" t="s">
        <v>567</v>
      </c>
      <c r="E440" s="1" t="s">
        <v>11</v>
      </c>
      <c r="F440" t="s">
        <v>733</v>
      </c>
      <c r="G440" s="1">
        <v>0</v>
      </c>
      <c r="H440" s="98">
        <v>43000</v>
      </c>
      <c r="I440" s="98">
        <f t="shared" ref="I440:I471" si="23">H440*2+20000</f>
        <v>106000</v>
      </c>
    </row>
    <row r="441" spans="1:39" x14ac:dyDescent="0.25">
      <c r="A441" t="s">
        <v>734</v>
      </c>
      <c r="B441" s="168" t="s">
        <v>735</v>
      </c>
      <c r="D441" s="1">
        <v>126</v>
      </c>
      <c r="E441" s="1" t="s">
        <v>11</v>
      </c>
      <c r="G441" s="1">
        <v>4</v>
      </c>
      <c r="H441" s="98">
        <v>50000</v>
      </c>
      <c r="I441" s="98">
        <f t="shared" si="23"/>
        <v>120000</v>
      </c>
    </row>
    <row r="442" spans="1:39" x14ac:dyDescent="0.25">
      <c r="A442" t="s">
        <v>144</v>
      </c>
      <c r="B442" s="168" t="s">
        <v>736</v>
      </c>
      <c r="C442" s="1" t="s">
        <v>737</v>
      </c>
      <c r="D442" s="1" t="s">
        <v>1947</v>
      </c>
      <c r="E442" s="1" t="s">
        <v>11</v>
      </c>
      <c r="F442" t="s">
        <v>537</v>
      </c>
      <c r="G442" s="1">
        <v>0</v>
      </c>
      <c r="H442" s="1">
        <v>48000</v>
      </c>
      <c r="I442" s="1">
        <f t="shared" si="23"/>
        <v>116000</v>
      </c>
    </row>
    <row r="443" spans="1:39" s="132" customFormat="1" x14ac:dyDescent="0.25">
      <c r="A443" s="132" t="s">
        <v>738</v>
      </c>
      <c r="B443" s="167" t="s">
        <v>739</v>
      </c>
      <c r="C443" s="133">
        <v>1998</v>
      </c>
      <c r="D443" s="133" t="s">
        <v>32</v>
      </c>
      <c r="E443" s="133" t="s">
        <v>13</v>
      </c>
      <c r="G443" s="133">
        <v>1</v>
      </c>
      <c r="H443" s="134">
        <v>35000</v>
      </c>
      <c r="I443" s="134">
        <f t="shared" si="23"/>
        <v>90000</v>
      </c>
    </row>
    <row r="444" spans="1:39" s="135" customFormat="1" x14ac:dyDescent="0.25">
      <c r="A444" s="135" t="s">
        <v>179</v>
      </c>
      <c r="B444" s="166" t="s">
        <v>740</v>
      </c>
      <c r="C444" s="136" t="s">
        <v>119</v>
      </c>
      <c r="D444" s="136" t="s">
        <v>1956</v>
      </c>
      <c r="E444" s="136" t="s">
        <v>11</v>
      </c>
      <c r="G444" s="136">
        <v>1</v>
      </c>
      <c r="H444" s="136">
        <v>60000</v>
      </c>
      <c r="I444" s="136">
        <f t="shared" si="23"/>
        <v>140000</v>
      </c>
    </row>
    <row r="445" spans="1:39" x14ac:dyDescent="0.25">
      <c r="A445" s="135" t="s">
        <v>626</v>
      </c>
      <c r="B445" s="166" t="s">
        <v>741</v>
      </c>
      <c r="C445" s="136" t="s">
        <v>742</v>
      </c>
      <c r="D445" s="136" t="s">
        <v>207</v>
      </c>
      <c r="E445" s="136" t="s">
        <v>11</v>
      </c>
      <c r="F445" s="135"/>
      <c r="G445" s="136">
        <v>0</v>
      </c>
      <c r="H445" s="136">
        <v>43000</v>
      </c>
      <c r="I445" s="137">
        <f t="shared" si="23"/>
        <v>106000</v>
      </c>
    </row>
    <row r="446" spans="1:39" s="132" customFormat="1" x14ac:dyDescent="0.25">
      <c r="A446" s="132" t="s">
        <v>626</v>
      </c>
      <c r="B446" s="167" t="s">
        <v>741</v>
      </c>
      <c r="C446" s="133" t="s">
        <v>677</v>
      </c>
      <c r="D446" s="133" t="s">
        <v>80</v>
      </c>
      <c r="E446" s="133" t="s">
        <v>13</v>
      </c>
      <c r="F446" s="133" t="s">
        <v>537</v>
      </c>
      <c r="G446" s="133">
        <v>1</v>
      </c>
      <c r="H446" s="134">
        <v>30000</v>
      </c>
      <c r="I446" s="134">
        <f t="shared" si="23"/>
        <v>80000</v>
      </c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</row>
    <row r="447" spans="1:39" x14ac:dyDescent="0.25">
      <c r="A447" t="s">
        <v>626</v>
      </c>
      <c r="B447" s="168" t="s">
        <v>741</v>
      </c>
      <c r="C447" s="1" t="s">
        <v>743</v>
      </c>
      <c r="E447" s="1" t="s">
        <v>11</v>
      </c>
      <c r="G447" s="1">
        <v>0</v>
      </c>
      <c r="H447" s="1">
        <v>86000</v>
      </c>
      <c r="I447" s="98">
        <f t="shared" si="23"/>
        <v>192000</v>
      </c>
    </row>
    <row r="448" spans="1:39" s="135" customFormat="1" x14ac:dyDescent="0.25">
      <c r="A448" s="135" t="s">
        <v>626</v>
      </c>
      <c r="B448" s="166" t="s">
        <v>741</v>
      </c>
      <c r="C448" s="136" t="s">
        <v>233</v>
      </c>
      <c r="D448" s="136" t="s">
        <v>838</v>
      </c>
      <c r="E448" s="136" t="s">
        <v>381</v>
      </c>
      <c r="G448" s="136">
        <v>0</v>
      </c>
      <c r="H448" s="136">
        <v>40000</v>
      </c>
      <c r="I448" s="137">
        <f t="shared" si="23"/>
        <v>100000</v>
      </c>
      <c r="J448" s="136"/>
      <c r="K448" s="136"/>
    </row>
    <row r="449" spans="1:9" x14ac:dyDescent="0.25">
      <c r="A449" t="s">
        <v>626</v>
      </c>
      <c r="B449" s="168" t="s">
        <v>741</v>
      </c>
      <c r="C449" s="1" t="s">
        <v>1312</v>
      </c>
      <c r="D449" s="1" t="s">
        <v>133</v>
      </c>
      <c r="E449" s="1" t="s">
        <v>381</v>
      </c>
      <c r="G449" s="1">
        <v>0</v>
      </c>
      <c r="H449" s="1">
        <v>53500</v>
      </c>
      <c r="I449" s="98">
        <f t="shared" si="23"/>
        <v>127000</v>
      </c>
    </row>
    <row r="450" spans="1:9" s="135" customFormat="1" x14ac:dyDescent="0.25">
      <c r="A450" s="135" t="s">
        <v>159</v>
      </c>
      <c r="B450" s="166" t="s">
        <v>747</v>
      </c>
      <c r="C450" s="136" t="s">
        <v>26</v>
      </c>
      <c r="D450" s="136" t="s">
        <v>207</v>
      </c>
      <c r="E450" s="136" t="s">
        <v>11</v>
      </c>
      <c r="F450" s="135" t="s">
        <v>748</v>
      </c>
      <c r="G450" s="136">
        <v>1</v>
      </c>
      <c r="H450" s="136">
        <v>45000</v>
      </c>
      <c r="I450" s="137">
        <f t="shared" si="23"/>
        <v>110000</v>
      </c>
    </row>
    <row r="451" spans="1:9" s="135" customFormat="1" x14ac:dyDescent="0.25">
      <c r="A451" s="135" t="s">
        <v>60</v>
      </c>
      <c r="B451" s="166" t="s">
        <v>749</v>
      </c>
      <c r="C451" s="136" t="s">
        <v>116</v>
      </c>
      <c r="D451" s="136" t="s">
        <v>207</v>
      </c>
      <c r="E451" s="136" t="s">
        <v>11</v>
      </c>
      <c r="G451" s="136">
        <v>1</v>
      </c>
      <c r="H451" s="137">
        <v>43000</v>
      </c>
      <c r="I451" s="137">
        <f t="shared" si="23"/>
        <v>106000</v>
      </c>
    </row>
    <row r="452" spans="1:9" x14ac:dyDescent="0.25">
      <c r="A452" t="s">
        <v>750</v>
      </c>
      <c r="B452" s="168" t="s">
        <v>1900</v>
      </c>
      <c r="C452" s="1" t="s">
        <v>29</v>
      </c>
      <c r="D452" s="1" t="s">
        <v>442</v>
      </c>
      <c r="E452" s="1" t="s">
        <v>156</v>
      </c>
      <c r="G452" s="1">
        <v>0</v>
      </c>
      <c r="H452" s="1">
        <v>46000</v>
      </c>
      <c r="I452" s="98">
        <f t="shared" si="23"/>
        <v>112000</v>
      </c>
    </row>
    <row r="453" spans="1:9" x14ac:dyDescent="0.25">
      <c r="A453" t="s">
        <v>55</v>
      </c>
      <c r="B453" s="168" t="s">
        <v>751</v>
      </c>
      <c r="C453" s="1" t="s">
        <v>29</v>
      </c>
      <c r="E453" s="1" t="s">
        <v>11</v>
      </c>
      <c r="G453" s="1">
        <v>0</v>
      </c>
      <c r="H453" s="1">
        <v>48000</v>
      </c>
      <c r="I453" s="98">
        <f t="shared" si="23"/>
        <v>116000</v>
      </c>
    </row>
    <row r="454" spans="1:9" s="135" customFormat="1" x14ac:dyDescent="0.25">
      <c r="A454" s="135" t="s">
        <v>200</v>
      </c>
      <c r="B454" s="166" t="s">
        <v>752</v>
      </c>
      <c r="C454" s="136" t="s">
        <v>94</v>
      </c>
      <c r="D454" s="136" t="s">
        <v>1949</v>
      </c>
      <c r="E454" s="136" t="s">
        <v>11</v>
      </c>
      <c r="F454" s="135" t="s">
        <v>537</v>
      </c>
      <c r="G454" s="136">
        <v>1</v>
      </c>
      <c r="H454" s="137">
        <v>48000</v>
      </c>
      <c r="I454" s="137">
        <f t="shared" si="23"/>
        <v>116000</v>
      </c>
    </row>
    <row r="455" spans="1:9" x14ac:dyDescent="0.25">
      <c r="A455" t="s">
        <v>136</v>
      </c>
      <c r="B455" s="168" t="s">
        <v>753</v>
      </c>
      <c r="D455" s="1" t="s">
        <v>754</v>
      </c>
      <c r="E455" s="1" t="s">
        <v>13</v>
      </c>
      <c r="G455" s="1">
        <v>0</v>
      </c>
      <c r="H455" s="98">
        <v>30000</v>
      </c>
      <c r="I455" s="98">
        <f t="shared" si="23"/>
        <v>80000</v>
      </c>
    </row>
    <row r="456" spans="1:9" s="135" customFormat="1" x14ac:dyDescent="0.25">
      <c r="A456" s="135" t="s">
        <v>179</v>
      </c>
      <c r="B456" s="166" t="s">
        <v>755</v>
      </c>
      <c r="C456" s="136">
        <v>1996</v>
      </c>
      <c r="D456" s="136" t="s">
        <v>1093</v>
      </c>
      <c r="E456" s="136" t="s">
        <v>11</v>
      </c>
      <c r="G456" s="136">
        <v>1</v>
      </c>
      <c r="H456" s="136">
        <v>38000</v>
      </c>
      <c r="I456" s="136">
        <f t="shared" si="23"/>
        <v>96000</v>
      </c>
    </row>
    <row r="457" spans="1:9" x14ac:dyDescent="0.25">
      <c r="A457" t="s">
        <v>756</v>
      </c>
      <c r="B457" s="168" t="s">
        <v>757</v>
      </c>
      <c r="C457" s="1" t="s">
        <v>94</v>
      </c>
      <c r="E457" s="1" t="s">
        <v>11</v>
      </c>
      <c r="G457" s="1">
        <v>0</v>
      </c>
      <c r="H457" s="98">
        <v>60000</v>
      </c>
      <c r="I457" s="98">
        <f t="shared" si="23"/>
        <v>140000</v>
      </c>
    </row>
    <row r="458" spans="1:9" x14ac:dyDescent="0.25">
      <c r="A458" t="s">
        <v>136</v>
      </c>
      <c r="B458" s="168" t="s">
        <v>758</v>
      </c>
      <c r="C458" s="1" t="s">
        <v>19</v>
      </c>
      <c r="E458" s="1" t="s">
        <v>11</v>
      </c>
      <c r="G458" s="1">
        <v>0</v>
      </c>
      <c r="H458" s="98">
        <v>77000</v>
      </c>
      <c r="I458" s="98">
        <f t="shared" si="23"/>
        <v>174000</v>
      </c>
    </row>
    <row r="459" spans="1:9" x14ac:dyDescent="0.25">
      <c r="A459" t="s">
        <v>234</v>
      </c>
      <c r="B459" s="168" t="s">
        <v>1767</v>
      </c>
      <c r="C459" s="1" t="s">
        <v>119</v>
      </c>
      <c r="D459" s="1" t="s">
        <v>1984</v>
      </c>
      <c r="E459" s="1" t="s">
        <v>13</v>
      </c>
      <c r="F459" s="1" t="s">
        <v>1985</v>
      </c>
      <c r="G459" s="1">
        <v>2</v>
      </c>
      <c r="H459" s="98">
        <v>39000</v>
      </c>
      <c r="I459" s="98">
        <f t="shared" si="23"/>
        <v>98000</v>
      </c>
    </row>
    <row r="460" spans="1:9" x14ac:dyDescent="0.25">
      <c r="A460" t="s">
        <v>60</v>
      </c>
      <c r="B460" s="168" t="s">
        <v>759</v>
      </c>
      <c r="C460" s="1" t="s">
        <v>94</v>
      </c>
      <c r="E460" s="1" t="s">
        <v>11</v>
      </c>
      <c r="F460" s="1" t="s">
        <v>760</v>
      </c>
      <c r="G460" s="1">
        <v>0</v>
      </c>
      <c r="H460" s="1">
        <v>54000</v>
      </c>
      <c r="I460" s="98">
        <f t="shared" si="23"/>
        <v>128000</v>
      </c>
    </row>
    <row r="461" spans="1:9" x14ac:dyDescent="0.25">
      <c r="A461" t="s">
        <v>586</v>
      </c>
      <c r="B461" s="168" t="s">
        <v>761</v>
      </c>
      <c r="C461" s="1" t="s">
        <v>119</v>
      </c>
      <c r="E461" s="1" t="s">
        <v>11</v>
      </c>
      <c r="G461" s="1">
        <v>0</v>
      </c>
      <c r="H461" s="98">
        <v>57000</v>
      </c>
      <c r="I461" s="98">
        <f t="shared" si="23"/>
        <v>134000</v>
      </c>
    </row>
    <row r="462" spans="1:9" x14ac:dyDescent="0.25">
      <c r="A462" t="s">
        <v>762</v>
      </c>
      <c r="B462" s="168" t="s">
        <v>763</v>
      </c>
      <c r="C462" s="1" t="s">
        <v>119</v>
      </c>
      <c r="D462" s="1">
        <v>125</v>
      </c>
      <c r="E462" s="1" t="s">
        <v>11</v>
      </c>
      <c r="F462" s="1" t="s">
        <v>537</v>
      </c>
      <c r="G462" s="1">
        <v>0</v>
      </c>
      <c r="H462" s="98">
        <v>70000</v>
      </c>
      <c r="I462" s="98">
        <f t="shared" si="23"/>
        <v>160000</v>
      </c>
    </row>
    <row r="463" spans="1:9" s="135" customFormat="1" x14ac:dyDescent="0.25">
      <c r="A463" s="135" t="s">
        <v>626</v>
      </c>
      <c r="B463" s="166" t="s">
        <v>764</v>
      </c>
      <c r="C463" s="136" t="s">
        <v>765</v>
      </c>
      <c r="D463" s="136" t="s">
        <v>80</v>
      </c>
      <c r="E463" s="136" t="s">
        <v>13</v>
      </c>
      <c r="F463" s="136" t="s">
        <v>766</v>
      </c>
      <c r="G463" s="136">
        <v>1</v>
      </c>
      <c r="H463" s="137">
        <v>30000</v>
      </c>
      <c r="I463" s="137">
        <f t="shared" si="23"/>
        <v>80000</v>
      </c>
    </row>
    <row r="464" spans="1:9" s="135" customFormat="1" x14ac:dyDescent="0.25">
      <c r="A464" s="135" t="s">
        <v>626</v>
      </c>
      <c r="B464" s="166" t="s">
        <v>764</v>
      </c>
      <c r="C464" s="136" t="s">
        <v>767</v>
      </c>
      <c r="D464" s="136" t="s">
        <v>80</v>
      </c>
      <c r="E464" s="136" t="s">
        <v>13</v>
      </c>
      <c r="F464" s="136" t="s">
        <v>309</v>
      </c>
      <c r="G464" s="136">
        <v>1</v>
      </c>
      <c r="H464" s="136">
        <v>30000</v>
      </c>
      <c r="I464" s="137">
        <f t="shared" si="23"/>
        <v>80000</v>
      </c>
    </row>
    <row r="465" spans="1:9" x14ac:dyDescent="0.25">
      <c r="A465" t="s">
        <v>241</v>
      </c>
      <c r="B465" s="168" t="s">
        <v>768</v>
      </c>
      <c r="C465" s="1" t="s">
        <v>22</v>
      </c>
      <c r="E465" s="1" t="s">
        <v>11</v>
      </c>
      <c r="G465" s="1">
        <v>0</v>
      </c>
      <c r="H465" s="1">
        <v>54000</v>
      </c>
      <c r="I465" s="1">
        <f t="shared" si="23"/>
        <v>128000</v>
      </c>
    </row>
    <row r="466" spans="1:9" x14ac:dyDescent="0.25">
      <c r="A466" t="s">
        <v>183</v>
      </c>
      <c r="B466" s="168" t="s">
        <v>769</v>
      </c>
      <c r="C466" s="1" t="s">
        <v>243</v>
      </c>
      <c r="E466" s="1" t="s">
        <v>11</v>
      </c>
      <c r="G466" s="1">
        <v>0</v>
      </c>
      <c r="H466" s="1">
        <v>40000</v>
      </c>
      <c r="I466" s="98">
        <f t="shared" si="23"/>
        <v>100000</v>
      </c>
    </row>
    <row r="467" spans="1:9" x14ac:dyDescent="0.25">
      <c r="A467" t="s">
        <v>405</v>
      </c>
      <c r="B467" s="168" t="s">
        <v>770</v>
      </c>
      <c r="C467" s="1">
        <v>1997</v>
      </c>
      <c r="E467" s="1" t="s">
        <v>11</v>
      </c>
      <c r="F467" s="1"/>
      <c r="G467" s="1">
        <v>0</v>
      </c>
      <c r="H467" s="98">
        <v>42000</v>
      </c>
      <c r="I467" s="98">
        <f t="shared" si="23"/>
        <v>104000</v>
      </c>
    </row>
    <row r="468" spans="1:9" x14ac:dyDescent="0.25">
      <c r="A468" t="s">
        <v>771</v>
      </c>
      <c r="B468" s="168" t="s">
        <v>1563</v>
      </c>
      <c r="C468" s="1" t="s">
        <v>94</v>
      </c>
      <c r="D468" s="1" t="s">
        <v>38</v>
      </c>
      <c r="E468" s="1" t="s">
        <v>11</v>
      </c>
      <c r="G468" s="1">
        <v>0</v>
      </c>
      <c r="H468" s="98">
        <v>54000</v>
      </c>
      <c r="I468" s="98">
        <f t="shared" si="23"/>
        <v>128000</v>
      </c>
    </row>
    <row r="469" spans="1:9" x14ac:dyDescent="0.25">
      <c r="A469" t="s">
        <v>405</v>
      </c>
      <c r="B469" s="168" t="s">
        <v>773</v>
      </c>
      <c r="C469" s="1" t="s">
        <v>243</v>
      </c>
      <c r="D469" s="1" t="s">
        <v>1905</v>
      </c>
      <c r="E469" s="1" t="s">
        <v>11</v>
      </c>
      <c r="G469" s="1">
        <v>1</v>
      </c>
      <c r="H469" s="1">
        <v>53000</v>
      </c>
      <c r="I469" s="98">
        <f t="shared" si="23"/>
        <v>126000</v>
      </c>
    </row>
    <row r="470" spans="1:9" x14ac:dyDescent="0.25">
      <c r="A470" t="s">
        <v>774</v>
      </c>
      <c r="B470" s="168" t="s">
        <v>775</v>
      </c>
      <c r="C470" s="1" t="s">
        <v>17</v>
      </c>
      <c r="D470" s="1">
        <v>117</v>
      </c>
      <c r="E470" s="1" t="s">
        <v>11</v>
      </c>
      <c r="F470" s="1"/>
      <c r="H470" s="1">
        <v>78000</v>
      </c>
      <c r="I470" s="1">
        <f t="shared" si="23"/>
        <v>176000</v>
      </c>
    </row>
    <row r="471" spans="1:9" x14ac:dyDescent="0.25">
      <c r="A471" t="s">
        <v>60</v>
      </c>
      <c r="B471" s="168" t="s">
        <v>776</v>
      </c>
      <c r="C471" s="1" t="s">
        <v>54</v>
      </c>
      <c r="E471" s="1" t="s">
        <v>11</v>
      </c>
      <c r="G471" s="1">
        <v>0</v>
      </c>
      <c r="I471" s="1">
        <f t="shared" si="23"/>
        <v>20000</v>
      </c>
    </row>
    <row r="472" spans="1:9" x14ac:dyDescent="0.25">
      <c r="A472" t="s">
        <v>1570</v>
      </c>
      <c r="B472" s="168" t="s">
        <v>1571</v>
      </c>
      <c r="C472" s="1" t="s">
        <v>1600</v>
      </c>
      <c r="D472" s="1" t="s">
        <v>838</v>
      </c>
      <c r="E472" s="1" t="s">
        <v>11</v>
      </c>
      <c r="G472" s="1">
        <v>0</v>
      </c>
      <c r="H472" s="1">
        <v>55000</v>
      </c>
      <c r="I472" s="1">
        <f>H472*2+20000</f>
        <v>130000</v>
      </c>
    </row>
    <row r="473" spans="1:9" x14ac:dyDescent="0.25">
      <c r="A473" t="s">
        <v>174</v>
      </c>
      <c r="B473" s="168" t="s">
        <v>777</v>
      </c>
      <c r="C473" s="1" t="s">
        <v>513</v>
      </c>
      <c r="D473" s="1" t="s">
        <v>997</v>
      </c>
      <c r="E473" s="1" t="s">
        <v>13</v>
      </c>
      <c r="F473" s="1" t="s">
        <v>537</v>
      </c>
      <c r="G473" s="1">
        <v>0</v>
      </c>
      <c r="H473" s="98">
        <v>45000</v>
      </c>
      <c r="I473" s="98">
        <f>H473*2+20000</f>
        <v>110000</v>
      </c>
    </row>
    <row r="474" spans="1:9" x14ac:dyDescent="0.25">
      <c r="A474" t="s">
        <v>174</v>
      </c>
      <c r="B474" s="168" t="s">
        <v>777</v>
      </c>
      <c r="C474" s="1" t="s">
        <v>305</v>
      </c>
      <c r="E474" s="1" t="s">
        <v>11</v>
      </c>
      <c r="G474" s="1">
        <v>0</v>
      </c>
      <c r="H474" s="1">
        <v>65000</v>
      </c>
      <c r="I474" s="1">
        <f>H474*2+20000</f>
        <v>150000</v>
      </c>
    </row>
    <row r="475" spans="1:9" x14ac:dyDescent="0.25">
      <c r="A475" t="s">
        <v>225</v>
      </c>
      <c r="B475" s="168" t="s">
        <v>778</v>
      </c>
      <c r="C475" s="1" t="s">
        <v>119</v>
      </c>
      <c r="D475" s="1" t="s">
        <v>997</v>
      </c>
      <c r="E475" s="1" t="s">
        <v>13</v>
      </c>
      <c r="F475" t="s">
        <v>2000</v>
      </c>
      <c r="G475" s="1">
        <v>0</v>
      </c>
      <c r="H475" s="98">
        <v>53000</v>
      </c>
      <c r="I475" s="98">
        <f t="shared" ref="I475:I506" si="24">H475*2+20000</f>
        <v>126000</v>
      </c>
    </row>
    <row r="476" spans="1:9" s="135" customFormat="1" x14ac:dyDescent="0.25">
      <c r="A476" s="135" t="s">
        <v>225</v>
      </c>
      <c r="B476" s="166" t="s">
        <v>778</v>
      </c>
      <c r="C476" s="136" t="s">
        <v>119</v>
      </c>
      <c r="D476" s="136" t="s">
        <v>1952</v>
      </c>
      <c r="E476" s="136" t="s">
        <v>11</v>
      </c>
      <c r="F476" s="135" t="s">
        <v>2014</v>
      </c>
      <c r="G476" s="136">
        <v>0</v>
      </c>
      <c r="H476" s="137">
        <v>61000</v>
      </c>
      <c r="I476" s="137">
        <f t="shared" si="24"/>
        <v>142000</v>
      </c>
    </row>
    <row r="477" spans="1:9" x14ac:dyDescent="0.25">
      <c r="A477" t="s">
        <v>225</v>
      </c>
      <c r="B477" s="168" t="s">
        <v>778</v>
      </c>
      <c r="C477" s="1" t="s">
        <v>468</v>
      </c>
      <c r="D477" s="1" t="s">
        <v>997</v>
      </c>
      <c r="E477" s="1" t="s">
        <v>13</v>
      </c>
      <c r="F477" t="s">
        <v>1817</v>
      </c>
      <c r="G477" s="1">
        <v>1</v>
      </c>
      <c r="H477" s="1">
        <v>25000</v>
      </c>
      <c r="I477" s="98">
        <f t="shared" si="24"/>
        <v>70000</v>
      </c>
    </row>
    <row r="478" spans="1:9" s="135" customFormat="1" x14ac:dyDescent="0.25">
      <c r="A478" s="135" t="s">
        <v>225</v>
      </c>
      <c r="B478" s="166" t="s">
        <v>1343</v>
      </c>
      <c r="C478" s="136" t="s">
        <v>779</v>
      </c>
      <c r="D478" s="136" t="s">
        <v>1952</v>
      </c>
      <c r="E478" s="136" t="s">
        <v>11</v>
      </c>
      <c r="F478" s="135" t="s">
        <v>780</v>
      </c>
      <c r="G478" s="136">
        <v>1</v>
      </c>
      <c r="H478" s="137">
        <v>35000</v>
      </c>
      <c r="I478" s="137">
        <f t="shared" si="24"/>
        <v>90000</v>
      </c>
    </row>
    <row r="479" spans="1:9" s="135" customFormat="1" x14ac:dyDescent="0.25">
      <c r="A479" s="135" t="s">
        <v>225</v>
      </c>
      <c r="B479" s="166" t="s">
        <v>1572</v>
      </c>
      <c r="C479" s="136" t="s">
        <v>575</v>
      </c>
      <c r="D479" s="136" t="s">
        <v>1952</v>
      </c>
      <c r="E479" s="136" t="s">
        <v>11</v>
      </c>
      <c r="G479" s="136">
        <v>0</v>
      </c>
      <c r="H479" s="136">
        <v>43000</v>
      </c>
      <c r="I479" s="136">
        <f t="shared" si="24"/>
        <v>106000</v>
      </c>
    </row>
    <row r="480" spans="1:9" x14ac:dyDescent="0.25">
      <c r="A480" t="s">
        <v>225</v>
      </c>
      <c r="B480" s="168" t="s">
        <v>1855</v>
      </c>
      <c r="C480" s="1" t="s">
        <v>575</v>
      </c>
      <c r="D480" s="1" t="s">
        <v>1848</v>
      </c>
      <c r="E480" s="1" t="s">
        <v>1854</v>
      </c>
      <c r="G480" s="1">
        <v>1</v>
      </c>
      <c r="I480" s="98">
        <f t="shared" si="24"/>
        <v>20000</v>
      </c>
    </row>
    <row r="481" spans="1:9" x14ac:dyDescent="0.25">
      <c r="A481" t="s">
        <v>405</v>
      </c>
      <c r="B481" s="168" t="s">
        <v>784</v>
      </c>
      <c r="C481" s="1" t="s">
        <v>182</v>
      </c>
      <c r="E481" s="1" t="s">
        <v>11</v>
      </c>
      <c r="G481" s="1">
        <v>0</v>
      </c>
      <c r="H481" s="98">
        <v>35000</v>
      </c>
      <c r="I481" s="98">
        <f t="shared" si="24"/>
        <v>90000</v>
      </c>
    </row>
    <row r="482" spans="1:9" x14ac:dyDescent="0.25">
      <c r="A482" t="s">
        <v>225</v>
      </c>
      <c r="B482" s="168" t="s">
        <v>785</v>
      </c>
      <c r="C482" s="1" t="s">
        <v>786</v>
      </c>
      <c r="E482" s="1" t="s">
        <v>11</v>
      </c>
      <c r="G482" s="1">
        <v>0</v>
      </c>
      <c r="H482" s="98">
        <v>39000</v>
      </c>
      <c r="I482" s="98">
        <f t="shared" si="24"/>
        <v>98000</v>
      </c>
    </row>
    <row r="483" spans="1:9" x14ac:dyDescent="0.25">
      <c r="A483" t="s">
        <v>225</v>
      </c>
      <c r="B483" s="168" t="s">
        <v>785</v>
      </c>
      <c r="C483" s="1">
        <v>1992</v>
      </c>
      <c r="E483" s="1" t="s">
        <v>11</v>
      </c>
      <c r="G483" s="1">
        <v>0</v>
      </c>
      <c r="H483" s="1">
        <v>36000</v>
      </c>
      <c r="I483" s="1">
        <f t="shared" si="24"/>
        <v>92000</v>
      </c>
    </row>
    <row r="484" spans="1:9" x14ac:dyDescent="0.25">
      <c r="A484" t="s">
        <v>225</v>
      </c>
      <c r="B484" s="168" t="s">
        <v>787</v>
      </c>
      <c r="C484" s="1" t="s">
        <v>569</v>
      </c>
      <c r="D484" s="1" t="s">
        <v>589</v>
      </c>
      <c r="E484" s="1" t="s">
        <v>11</v>
      </c>
      <c r="G484" s="1">
        <v>0</v>
      </c>
      <c r="H484" s="98">
        <v>48000</v>
      </c>
      <c r="I484" s="98">
        <f t="shared" si="24"/>
        <v>116000</v>
      </c>
    </row>
    <row r="485" spans="1:9" x14ac:dyDescent="0.25">
      <c r="A485" t="s">
        <v>225</v>
      </c>
      <c r="B485" s="168" t="s">
        <v>788</v>
      </c>
      <c r="C485" s="1" t="s">
        <v>116</v>
      </c>
      <c r="D485" s="1" t="s">
        <v>567</v>
      </c>
      <c r="E485" s="1" t="s">
        <v>11</v>
      </c>
      <c r="G485" s="1">
        <v>0</v>
      </c>
      <c r="H485" s="1">
        <v>49900</v>
      </c>
      <c r="I485" s="1">
        <f t="shared" si="24"/>
        <v>119800</v>
      </c>
    </row>
    <row r="486" spans="1:9" s="135" customFormat="1" x14ac:dyDescent="0.25">
      <c r="A486" s="135" t="s">
        <v>225</v>
      </c>
      <c r="B486" s="166" t="s">
        <v>789</v>
      </c>
      <c r="C486" s="136" t="s">
        <v>17</v>
      </c>
      <c r="D486" s="136" t="s">
        <v>126</v>
      </c>
      <c r="E486" s="136" t="s">
        <v>11</v>
      </c>
      <c r="G486" s="136">
        <v>1</v>
      </c>
      <c r="H486" s="137">
        <v>55000</v>
      </c>
      <c r="I486" s="137">
        <f t="shared" si="24"/>
        <v>130000</v>
      </c>
    </row>
    <row r="487" spans="1:9" s="129" customFormat="1" x14ac:dyDescent="0.25">
      <c r="A487" s="129" t="s">
        <v>238</v>
      </c>
      <c r="B487" s="171" t="s">
        <v>2021</v>
      </c>
      <c r="C487" s="130" t="s">
        <v>57</v>
      </c>
      <c r="D487" s="130" t="s">
        <v>131</v>
      </c>
      <c r="E487" s="130" t="s">
        <v>11</v>
      </c>
      <c r="G487" s="130">
        <v>1</v>
      </c>
      <c r="H487" s="130">
        <v>54000</v>
      </c>
      <c r="I487" s="130">
        <f t="shared" si="24"/>
        <v>128000</v>
      </c>
    </row>
    <row r="488" spans="1:9" x14ac:dyDescent="0.25">
      <c r="A488" t="s">
        <v>790</v>
      </c>
      <c r="B488" s="168" t="s">
        <v>791</v>
      </c>
      <c r="C488" s="1" t="s">
        <v>57</v>
      </c>
      <c r="D488" s="1" t="s">
        <v>240</v>
      </c>
      <c r="E488" s="1" t="s">
        <v>11</v>
      </c>
      <c r="G488" s="1">
        <v>0</v>
      </c>
      <c r="H488" s="98">
        <v>40000</v>
      </c>
      <c r="I488" s="98">
        <f t="shared" si="24"/>
        <v>100000</v>
      </c>
    </row>
    <row r="489" spans="1:9" x14ac:dyDescent="0.25">
      <c r="A489" t="s">
        <v>483</v>
      </c>
      <c r="B489" s="168" t="s">
        <v>792</v>
      </c>
      <c r="D489" s="1" t="s">
        <v>793</v>
      </c>
      <c r="E489" s="1" t="s">
        <v>13</v>
      </c>
      <c r="F489" s="1" t="s">
        <v>24</v>
      </c>
      <c r="G489" s="1">
        <v>0</v>
      </c>
      <c r="H489" s="98">
        <v>25000</v>
      </c>
      <c r="I489" s="98">
        <f>H489*2+20000</f>
        <v>70000</v>
      </c>
    </row>
    <row r="490" spans="1:9" s="135" customFormat="1" x14ac:dyDescent="0.25">
      <c r="A490" s="135" t="s">
        <v>483</v>
      </c>
      <c r="B490" s="166" t="s">
        <v>792</v>
      </c>
      <c r="C490" s="136" t="s">
        <v>569</v>
      </c>
      <c r="D490" s="136" t="s">
        <v>80</v>
      </c>
      <c r="E490" s="136" t="s">
        <v>13</v>
      </c>
      <c r="F490" s="136" t="s">
        <v>1611</v>
      </c>
      <c r="G490" s="136">
        <v>1</v>
      </c>
      <c r="H490" s="137">
        <v>25000</v>
      </c>
      <c r="I490" s="137">
        <f>H490*2+20000</f>
        <v>70000</v>
      </c>
    </row>
    <row r="491" spans="1:9" x14ac:dyDescent="0.25">
      <c r="A491" t="s">
        <v>483</v>
      </c>
      <c r="B491" s="168" t="s">
        <v>792</v>
      </c>
      <c r="D491" s="1" t="s">
        <v>1858</v>
      </c>
      <c r="E491" s="1" t="s">
        <v>13</v>
      </c>
      <c r="F491" s="1" t="s">
        <v>795</v>
      </c>
      <c r="G491" s="1">
        <v>0</v>
      </c>
      <c r="H491" s="98">
        <v>30000</v>
      </c>
      <c r="I491" s="98">
        <f>H491*2+20000</f>
        <v>80000</v>
      </c>
    </row>
    <row r="492" spans="1:9" ht="14.25" customHeight="1" x14ac:dyDescent="0.25">
      <c r="A492" t="s">
        <v>483</v>
      </c>
      <c r="B492" s="168" t="s">
        <v>792</v>
      </c>
      <c r="C492" s="1" t="s">
        <v>569</v>
      </c>
      <c r="D492" s="1" t="s">
        <v>315</v>
      </c>
      <c r="E492" s="1" t="s">
        <v>11</v>
      </c>
      <c r="G492" s="1">
        <v>0</v>
      </c>
      <c r="H492" s="1">
        <v>40000</v>
      </c>
      <c r="I492" s="98">
        <f>H492*2+20000</f>
        <v>100000</v>
      </c>
    </row>
    <row r="493" spans="1:9" x14ac:dyDescent="0.25">
      <c r="A493" t="s">
        <v>796</v>
      </c>
      <c r="B493" s="168" t="s">
        <v>797</v>
      </c>
      <c r="C493" s="1" t="s">
        <v>197</v>
      </c>
      <c r="D493" s="1" t="s">
        <v>661</v>
      </c>
      <c r="E493" s="1" t="s">
        <v>11</v>
      </c>
      <c r="F493" t="s">
        <v>798</v>
      </c>
      <c r="G493" s="1">
        <v>0</v>
      </c>
      <c r="H493" s="98">
        <v>52000</v>
      </c>
      <c r="I493" s="98">
        <f t="shared" si="24"/>
        <v>124000</v>
      </c>
    </row>
    <row r="494" spans="1:9" x14ac:dyDescent="0.25">
      <c r="A494" t="s">
        <v>553</v>
      </c>
      <c r="B494" s="168" t="s">
        <v>799</v>
      </c>
      <c r="C494" s="1" t="s">
        <v>197</v>
      </c>
      <c r="D494" s="1" t="s">
        <v>207</v>
      </c>
      <c r="E494" s="1" t="s">
        <v>11</v>
      </c>
      <c r="G494" s="1">
        <v>0</v>
      </c>
      <c r="H494" s="1">
        <v>50999</v>
      </c>
      <c r="I494" s="98">
        <f t="shared" si="24"/>
        <v>121998</v>
      </c>
    </row>
    <row r="495" spans="1:9" x14ac:dyDescent="0.25">
      <c r="A495" t="s">
        <v>626</v>
      </c>
      <c r="B495" s="169" t="s">
        <v>800</v>
      </c>
      <c r="C495" s="1" t="s">
        <v>108</v>
      </c>
      <c r="D495" s="1" t="s">
        <v>838</v>
      </c>
      <c r="E495" s="1" t="s">
        <v>11</v>
      </c>
      <c r="G495" s="1">
        <v>0</v>
      </c>
      <c r="H495" s="1">
        <v>56000</v>
      </c>
      <c r="I495" s="1">
        <f t="shared" si="24"/>
        <v>132000</v>
      </c>
    </row>
    <row r="496" spans="1:9" x14ac:dyDescent="0.25">
      <c r="A496" t="s">
        <v>626</v>
      </c>
      <c r="B496" s="169" t="s">
        <v>801</v>
      </c>
      <c r="C496" s="1" t="s">
        <v>802</v>
      </c>
      <c r="D496" s="1" t="s">
        <v>661</v>
      </c>
      <c r="E496" s="1" t="s">
        <v>11</v>
      </c>
      <c r="G496" s="1">
        <v>1</v>
      </c>
      <c r="H496" s="98">
        <v>35000</v>
      </c>
      <c r="I496" s="98">
        <f t="shared" si="24"/>
        <v>90000</v>
      </c>
    </row>
    <row r="497" spans="1:9" x14ac:dyDescent="0.25">
      <c r="A497" t="s">
        <v>626</v>
      </c>
      <c r="B497" s="169" t="s">
        <v>803</v>
      </c>
      <c r="C497" s="1" t="s">
        <v>804</v>
      </c>
      <c r="E497" s="1" t="s">
        <v>11</v>
      </c>
      <c r="H497" s="98">
        <v>59000</v>
      </c>
      <c r="I497" s="98">
        <f t="shared" si="24"/>
        <v>138000</v>
      </c>
    </row>
    <row r="498" spans="1:9" s="135" customFormat="1" x14ac:dyDescent="0.25">
      <c r="A498" s="135" t="s">
        <v>626</v>
      </c>
      <c r="B498" s="166" t="s">
        <v>803</v>
      </c>
      <c r="C498" s="136" t="s">
        <v>805</v>
      </c>
      <c r="D498" s="136" t="s">
        <v>838</v>
      </c>
      <c r="E498" s="136" t="s">
        <v>11</v>
      </c>
      <c r="G498" s="136">
        <v>2</v>
      </c>
      <c r="H498" s="137">
        <v>48000</v>
      </c>
      <c r="I498" s="137">
        <f t="shared" si="24"/>
        <v>116000</v>
      </c>
    </row>
    <row r="499" spans="1:9" x14ac:dyDescent="0.25">
      <c r="A499" t="s">
        <v>806</v>
      </c>
      <c r="B499" s="168" t="s">
        <v>803</v>
      </c>
      <c r="C499" s="1" t="s">
        <v>377</v>
      </c>
      <c r="D499" s="1" t="s">
        <v>1630</v>
      </c>
      <c r="E499" s="1" t="s">
        <v>11</v>
      </c>
      <c r="F499" t="s">
        <v>808</v>
      </c>
      <c r="G499" s="1">
        <v>0</v>
      </c>
      <c r="H499" s="1">
        <v>72000</v>
      </c>
      <c r="I499" s="98">
        <f t="shared" si="24"/>
        <v>164000</v>
      </c>
    </row>
    <row r="500" spans="1:9" x14ac:dyDescent="0.25">
      <c r="A500" t="s">
        <v>626</v>
      </c>
      <c r="B500" s="169" t="s">
        <v>809</v>
      </c>
      <c r="E500" s="1" t="s">
        <v>11</v>
      </c>
      <c r="H500" s="98">
        <v>35000</v>
      </c>
      <c r="I500" s="98">
        <f t="shared" si="24"/>
        <v>90000</v>
      </c>
    </row>
    <row r="501" spans="1:9" s="135" customFormat="1" x14ac:dyDescent="0.25">
      <c r="A501" s="135" t="s">
        <v>422</v>
      </c>
      <c r="B501" s="166" t="s">
        <v>810</v>
      </c>
      <c r="C501" s="136" t="s">
        <v>450</v>
      </c>
      <c r="D501" s="136" t="s">
        <v>1879</v>
      </c>
      <c r="E501" s="136" t="s">
        <v>13</v>
      </c>
      <c r="G501" s="136">
        <v>1</v>
      </c>
      <c r="H501" s="137">
        <v>30000</v>
      </c>
      <c r="I501" s="137">
        <f t="shared" si="24"/>
        <v>80000</v>
      </c>
    </row>
    <row r="502" spans="1:9" s="135" customFormat="1" x14ac:dyDescent="0.25">
      <c r="A502" s="135" t="s">
        <v>811</v>
      </c>
      <c r="B502" s="166" t="s">
        <v>812</v>
      </c>
      <c r="C502" s="136" t="s">
        <v>377</v>
      </c>
      <c r="D502" s="136" t="s">
        <v>353</v>
      </c>
      <c r="E502" s="136" t="s">
        <v>13</v>
      </c>
      <c r="F502" s="135" t="s">
        <v>1986</v>
      </c>
      <c r="G502" s="136">
        <v>1</v>
      </c>
      <c r="H502" s="136">
        <v>35000</v>
      </c>
      <c r="I502" s="137">
        <f t="shared" si="24"/>
        <v>90000</v>
      </c>
    </row>
    <row r="503" spans="1:9" x14ac:dyDescent="0.25">
      <c r="A503" t="s">
        <v>626</v>
      </c>
      <c r="B503" s="168" t="s">
        <v>814</v>
      </c>
      <c r="C503" s="1" t="s">
        <v>161</v>
      </c>
      <c r="E503" s="1" t="s">
        <v>11</v>
      </c>
      <c r="G503" s="1">
        <v>0</v>
      </c>
      <c r="H503" s="1">
        <v>36000</v>
      </c>
      <c r="I503" s="98">
        <f t="shared" si="24"/>
        <v>92000</v>
      </c>
    </row>
    <row r="504" spans="1:9" x14ac:dyDescent="0.25">
      <c r="A504" t="s">
        <v>245</v>
      </c>
      <c r="B504" s="168" t="s">
        <v>815</v>
      </c>
      <c r="C504" s="1" t="s">
        <v>816</v>
      </c>
      <c r="D504" s="1" t="s">
        <v>1951</v>
      </c>
      <c r="E504" s="1" t="s">
        <v>11</v>
      </c>
      <c r="G504" s="1">
        <v>0</v>
      </c>
      <c r="H504" s="98">
        <v>37000</v>
      </c>
      <c r="I504" s="98">
        <f t="shared" si="24"/>
        <v>94000</v>
      </c>
    </row>
    <row r="505" spans="1:9" x14ac:dyDescent="0.25">
      <c r="A505" t="s">
        <v>245</v>
      </c>
      <c r="B505" s="168" t="s">
        <v>815</v>
      </c>
      <c r="C505" s="1" t="s">
        <v>817</v>
      </c>
      <c r="D505" s="1" t="s">
        <v>1943</v>
      </c>
      <c r="E505" s="1" t="s">
        <v>11</v>
      </c>
      <c r="G505" s="1">
        <v>3</v>
      </c>
      <c r="H505" s="98">
        <v>30000</v>
      </c>
      <c r="I505" s="98">
        <f t="shared" si="24"/>
        <v>80000</v>
      </c>
    </row>
    <row r="506" spans="1:9" x14ac:dyDescent="0.25">
      <c r="A506" t="s">
        <v>245</v>
      </c>
      <c r="B506" s="168" t="s">
        <v>815</v>
      </c>
      <c r="C506" s="1" t="s">
        <v>818</v>
      </c>
      <c r="D506" s="1" t="s">
        <v>322</v>
      </c>
      <c r="E506" s="1" t="s">
        <v>11</v>
      </c>
      <c r="G506" s="1">
        <v>13</v>
      </c>
      <c r="H506" s="98">
        <v>30000</v>
      </c>
      <c r="I506" s="98">
        <f t="shared" si="24"/>
        <v>80000</v>
      </c>
    </row>
    <row r="507" spans="1:9" s="135" customFormat="1" x14ac:dyDescent="0.25">
      <c r="A507" s="135" t="s">
        <v>245</v>
      </c>
      <c r="B507" s="166" t="s">
        <v>819</v>
      </c>
      <c r="C507" s="136" t="s">
        <v>820</v>
      </c>
      <c r="D507" s="136" t="s">
        <v>1945</v>
      </c>
      <c r="E507" s="136" t="s">
        <v>13</v>
      </c>
      <c r="F507" s="136" t="s">
        <v>2044</v>
      </c>
      <c r="G507" s="136">
        <v>0</v>
      </c>
      <c r="H507" s="136">
        <v>30000</v>
      </c>
      <c r="I507" s="137">
        <f t="shared" ref="I507:I538" si="25">H507*2+20000</f>
        <v>80000</v>
      </c>
    </row>
    <row r="508" spans="1:9" x14ac:dyDescent="0.25">
      <c r="A508" t="s">
        <v>208</v>
      </c>
      <c r="B508" s="168" t="s">
        <v>821</v>
      </c>
      <c r="C508" s="1" t="s">
        <v>113</v>
      </c>
      <c r="E508" s="1" t="s">
        <v>11</v>
      </c>
      <c r="F508" s="1"/>
      <c r="H508" s="1">
        <v>104720</v>
      </c>
      <c r="I508" s="1">
        <f t="shared" si="25"/>
        <v>229440</v>
      </c>
    </row>
    <row r="509" spans="1:9" s="132" customFormat="1" x14ac:dyDescent="0.25">
      <c r="A509" s="132" t="s">
        <v>241</v>
      </c>
      <c r="B509" s="167" t="s">
        <v>822</v>
      </c>
      <c r="C509" s="133">
        <v>2008</v>
      </c>
      <c r="D509" s="133" t="s">
        <v>32</v>
      </c>
      <c r="E509" s="133" t="s">
        <v>13</v>
      </c>
      <c r="G509" s="133">
        <v>1</v>
      </c>
      <c r="H509" s="134"/>
      <c r="I509" s="134">
        <f t="shared" si="25"/>
        <v>20000</v>
      </c>
    </row>
    <row r="510" spans="1:9" x14ac:dyDescent="0.25">
      <c r="A510" t="s">
        <v>183</v>
      </c>
      <c r="B510" s="168" t="s">
        <v>823</v>
      </c>
      <c r="C510" s="1">
        <v>2000</v>
      </c>
      <c r="D510" s="1" t="s">
        <v>824</v>
      </c>
      <c r="E510" s="1" t="s">
        <v>13</v>
      </c>
      <c r="G510" s="1">
        <v>0</v>
      </c>
      <c r="H510" s="98">
        <v>30000</v>
      </c>
      <c r="I510" s="98">
        <f t="shared" si="25"/>
        <v>80000</v>
      </c>
    </row>
    <row r="511" spans="1:9" s="132" customFormat="1" x14ac:dyDescent="0.25">
      <c r="A511" s="135" t="s">
        <v>60</v>
      </c>
      <c r="B511" s="166" t="s">
        <v>825</v>
      </c>
      <c r="C511" s="136" t="s">
        <v>94</v>
      </c>
      <c r="D511" s="136" t="s">
        <v>1963</v>
      </c>
      <c r="E511" s="136" t="s">
        <v>11</v>
      </c>
      <c r="F511" s="135"/>
      <c r="G511" s="136">
        <v>0</v>
      </c>
      <c r="H511" s="137">
        <v>61000</v>
      </c>
      <c r="I511" s="137">
        <f t="shared" si="25"/>
        <v>142000</v>
      </c>
    </row>
    <row r="512" spans="1:9" x14ac:dyDescent="0.25">
      <c r="B512" s="168" t="s">
        <v>825</v>
      </c>
      <c r="C512" s="1" t="s">
        <v>94</v>
      </c>
      <c r="H512" s="1">
        <v>48000</v>
      </c>
      <c r="I512" s="98">
        <f t="shared" si="25"/>
        <v>116000</v>
      </c>
    </row>
    <row r="513" spans="1:9" s="135" customFormat="1" x14ac:dyDescent="0.25">
      <c r="A513" s="135" t="s">
        <v>39</v>
      </c>
      <c r="B513" s="166" t="s">
        <v>826</v>
      </c>
      <c r="C513" s="136"/>
      <c r="D513" s="136" t="s">
        <v>1879</v>
      </c>
      <c r="E513" s="136" t="s">
        <v>13</v>
      </c>
      <c r="G513" s="136">
        <v>1</v>
      </c>
      <c r="H513" s="137">
        <v>30000</v>
      </c>
      <c r="I513" s="137">
        <f t="shared" si="25"/>
        <v>80000</v>
      </c>
    </row>
    <row r="514" spans="1:9" s="135" customFormat="1" x14ac:dyDescent="0.25">
      <c r="A514" s="135" t="s">
        <v>179</v>
      </c>
      <c r="B514" s="166" t="s">
        <v>827</v>
      </c>
      <c r="C514" s="136" t="s">
        <v>243</v>
      </c>
      <c r="D514" s="136" t="s">
        <v>675</v>
      </c>
      <c r="E514" s="136" t="s">
        <v>11</v>
      </c>
      <c r="F514" s="136" t="s">
        <v>48</v>
      </c>
      <c r="G514" s="136">
        <v>1</v>
      </c>
      <c r="H514" s="137">
        <v>39000</v>
      </c>
      <c r="I514" s="137">
        <f t="shared" si="25"/>
        <v>98000</v>
      </c>
    </row>
    <row r="515" spans="1:9" x14ac:dyDescent="0.25">
      <c r="A515" t="s">
        <v>828</v>
      </c>
      <c r="B515" s="168" t="s">
        <v>829</v>
      </c>
      <c r="C515" s="1" t="s">
        <v>176</v>
      </c>
      <c r="E515" s="1" t="s">
        <v>13</v>
      </c>
      <c r="G515" s="1">
        <v>0</v>
      </c>
      <c r="H515" s="1">
        <v>34150</v>
      </c>
      <c r="I515" s="98">
        <f t="shared" si="25"/>
        <v>88300</v>
      </c>
    </row>
    <row r="516" spans="1:9" s="135" customFormat="1" x14ac:dyDescent="0.25">
      <c r="A516" s="135" t="s">
        <v>830</v>
      </c>
      <c r="B516" s="166" t="s">
        <v>1870</v>
      </c>
      <c r="C516" s="136" t="s">
        <v>534</v>
      </c>
      <c r="D516" s="136" t="s">
        <v>1872</v>
      </c>
      <c r="E516" s="136" t="s">
        <v>13</v>
      </c>
      <c r="F516" s="136" t="s">
        <v>1869</v>
      </c>
      <c r="G516" s="136">
        <v>5</v>
      </c>
      <c r="H516" s="137">
        <v>25000</v>
      </c>
      <c r="I516" s="137">
        <f t="shared" si="25"/>
        <v>70000</v>
      </c>
    </row>
    <row r="517" spans="1:9" x14ac:dyDescent="0.25">
      <c r="A517" t="s">
        <v>564</v>
      </c>
      <c r="B517" s="168" t="s">
        <v>831</v>
      </c>
      <c r="C517" s="1" t="s">
        <v>832</v>
      </c>
      <c r="D517" s="1" t="s">
        <v>227</v>
      </c>
      <c r="E517" s="1" t="s">
        <v>11</v>
      </c>
      <c r="G517" s="1">
        <v>0</v>
      </c>
      <c r="H517" s="1">
        <v>59000</v>
      </c>
      <c r="I517" s="1">
        <f t="shared" si="25"/>
        <v>138000</v>
      </c>
    </row>
    <row r="518" spans="1:9" x14ac:dyDescent="0.25">
      <c r="A518" t="s">
        <v>30</v>
      </c>
      <c r="B518" s="168" t="s">
        <v>969</v>
      </c>
      <c r="C518" s="1" t="s">
        <v>94</v>
      </c>
      <c r="E518" s="1" t="s">
        <v>11</v>
      </c>
      <c r="G518" s="1">
        <v>0</v>
      </c>
      <c r="H518" s="98">
        <v>56000</v>
      </c>
      <c r="I518" s="98">
        <f t="shared" si="25"/>
        <v>132000</v>
      </c>
    </row>
    <row r="519" spans="1:9" s="103" customFormat="1" x14ac:dyDescent="0.25">
      <c r="A519" s="103" t="s">
        <v>30</v>
      </c>
      <c r="B519" s="173" t="s">
        <v>969</v>
      </c>
      <c r="C519" s="105" t="s">
        <v>153</v>
      </c>
      <c r="D519" s="105" t="s">
        <v>329</v>
      </c>
      <c r="E519" s="105" t="s">
        <v>11</v>
      </c>
      <c r="G519" s="105">
        <v>0</v>
      </c>
      <c r="H519" s="105">
        <v>65000</v>
      </c>
      <c r="I519" s="138">
        <f t="shared" si="25"/>
        <v>150000</v>
      </c>
    </row>
    <row r="520" spans="1:9" x14ac:dyDescent="0.25">
      <c r="A520" t="s">
        <v>30</v>
      </c>
      <c r="B520" s="168" t="s">
        <v>855</v>
      </c>
      <c r="C520" s="1" t="s">
        <v>29</v>
      </c>
      <c r="E520" s="1" t="s">
        <v>11</v>
      </c>
      <c r="G520" s="1">
        <v>0</v>
      </c>
      <c r="H520" s="1">
        <v>76000</v>
      </c>
      <c r="I520" s="98">
        <f t="shared" si="25"/>
        <v>172000</v>
      </c>
    </row>
    <row r="521" spans="1:9" x14ac:dyDescent="0.25">
      <c r="A521" t="s">
        <v>30</v>
      </c>
      <c r="B521" s="168" t="s">
        <v>853</v>
      </c>
      <c r="C521" s="1" t="s">
        <v>54</v>
      </c>
      <c r="D521" s="1" t="s">
        <v>329</v>
      </c>
      <c r="E521" s="1" t="s">
        <v>11</v>
      </c>
      <c r="F521" s="1" t="s">
        <v>854</v>
      </c>
      <c r="G521" s="1">
        <v>0</v>
      </c>
      <c r="H521" s="1">
        <v>75000</v>
      </c>
      <c r="I521" s="98">
        <f t="shared" si="25"/>
        <v>170000</v>
      </c>
    </row>
    <row r="522" spans="1:9" x14ac:dyDescent="0.25">
      <c r="A522" t="s">
        <v>30</v>
      </c>
      <c r="B522" s="168" t="s">
        <v>851</v>
      </c>
      <c r="C522" s="1" t="s">
        <v>852</v>
      </c>
      <c r="E522" s="1" t="s">
        <v>13</v>
      </c>
      <c r="F522" s="1"/>
      <c r="G522" s="1">
        <v>0</v>
      </c>
      <c r="H522" s="98">
        <v>45000</v>
      </c>
      <c r="I522" s="98">
        <f t="shared" si="25"/>
        <v>110000</v>
      </c>
    </row>
    <row r="523" spans="1:9" x14ac:dyDescent="0.25">
      <c r="A523" t="s">
        <v>30</v>
      </c>
      <c r="B523" s="168" t="s">
        <v>849</v>
      </c>
      <c r="C523" s="1" t="s">
        <v>850</v>
      </c>
      <c r="E523" s="1" t="s">
        <v>11</v>
      </c>
      <c r="G523" s="1">
        <v>0</v>
      </c>
      <c r="H523" s="98">
        <v>42000</v>
      </c>
      <c r="I523" s="98">
        <f t="shared" si="25"/>
        <v>104000</v>
      </c>
    </row>
    <row r="524" spans="1:9" x14ac:dyDescent="0.25">
      <c r="A524" t="s">
        <v>30</v>
      </c>
      <c r="B524" s="168" t="s">
        <v>848</v>
      </c>
      <c r="C524" s="1" t="s">
        <v>57</v>
      </c>
      <c r="E524" s="1" t="s">
        <v>11</v>
      </c>
      <c r="G524" s="1">
        <v>0</v>
      </c>
      <c r="H524" s="1">
        <v>55000</v>
      </c>
      <c r="I524" s="1">
        <f t="shared" si="25"/>
        <v>130000</v>
      </c>
    </row>
    <row r="525" spans="1:9" x14ac:dyDescent="0.25">
      <c r="A525" t="s">
        <v>30</v>
      </c>
      <c r="B525" s="168" t="s">
        <v>847</v>
      </c>
      <c r="C525" s="1" t="s">
        <v>511</v>
      </c>
      <c r="D525" s="1">
        <v>109</v>
      </c>
      <c r="E525" s="1" t="s">
        <v>11</v>
      </c>
      <c r="G525" s="1">
        <v>1</v>
      </c>
      <c r="H525" s="98">
        <v>50000</v>
      </c>
      <c r="I525" s="98">
        <f t="shared" si="25"/>
        <v>120000</v>
      </c>
    </row>
    <row r="526" spans="1:9" ht="14.25" customHeight="1" x14ac:dyDescent="0.25">
      <c r="A526" t="s">
        <v>30</v>
      </c>
      <c r="B526" s="168" t="s">
        <v>846</v>
      </c>
      <c r="C526" s="1" t="s">
        <v>153</v>
      </c>
      <c r="D526" s="1" t="s">
        <v>1877</v>
      </c>
      <c r="E526" s="1" t="s">
        <v>13</v>
      </c>
      <c r="G526" s="1">
        <v>0</v>
      </c>
      <c r="I526" s="98">
        <f t="shared" si="25"/>
        <v>20000</v>
      </c>
    </row>
    <row r="527" spans="1:9" x14ac:dyDescent="0.25">
      <c r="A527" t="s">
        <v>30</v>
      </c>
      <c r="B527" s="168" t="s">
        <v>844</v>
      </c>
      <c r="C527" s="1" t="s">
        <v>845</v>
      </c>
      <c r="D527" s="1">
        <v>103</v>
      </c>
      <c r="E527" s="1" t="s">
        <v>11</v>
      </c>
      <c r="G527" s="1">
        <v>2</v>
      </c>
      <c r="H527" s="98">
        <v>44000</v>
      </c>
      <c r="I527" s="98">
        <f t="shared" si="25"/>
        <v>108000</v>
      </c>
    </row>
    <row r="528" spans="1:9" s="135" customFormat="1" x14ac:dyDescent="0.25">
      <c r="A528" s="135" t="s">
        <v>30</v>
      </c>
      <c r="B528" s="166" t="s">
        <v>843</v>
      </c>
      <c r="C528" s="136" t="s">
        <v>113</v>
      </c>
      <c r="D528" s="136" t="s">
        <v>315</v>
      </c>
      <c r="E528" s="136" t="s">
        <v>13</v>
      </c>
      <c r="G528" s="136">
        <v>2</v>
      </c>
      <c r="H528" s="137">
        <v>25000</v>
      </c>
      <c r="I528" s="137">
        <f t="shared" si="25"/>
        <v>70000</v>
      </c>
    </row>
    <row r="529" spans="1:9" x14ac:dyDescent="0.25">
      <c r="A529" t="s">
        <v>30</v>
      </c>
      <c r="B529" s="168" t="s">
        <v>836</v>
      </c>
      <c r="C529" s="1" t="s">
        <v>429</v>
      </c>
      <c r="E529" s="1" t="s">
        <v>11</v>
      </c>
      <c r="F529" s="1" t="s">
        <v>837</v>
      </c>
      <c r="G529" s="1">
        <v>0</v>
      </c>
      <c r="H529" s="1">
        <v>57000</v>
      </c>
      <c r="I529" s="98">
        <f t="shared" si="25"/>
        <v>134000</v>
      </c>
    </row>
    <row r="530" spans="1:9" s="135" customFormat="1" x14ac:dyDescent="0.25">
      <c r="A530" s="135" t="s">
        <v>30</v>
      </c>
      <c r="B530" s="166" t="s">
        <v>836</v>
      </c>
      <c r="C530" s="136" t="s">
        <v>249</v>
      </c>
      <c r="D530" s="136" t="s">
        <v>267</v>
      </c>
      <c r="E530" s="136" t="s">
        <v>11</v>
      </c>
      <c r="F530" s="136" t="s">
        <v>839</v>
      </c>
      <c r="G530" s="136">
        <v>1</v>
      </c>
      <c r="H530" s="136">
        <v>59000</v>
      </c>
      <c r="I530" s="137">
        <f t="shared" si="25"/>
        <v>138000</v>
      </c>
    </row>
    <row r="531" spans="1:9" x14ac:dyDescent="0.25">
      <c r="A531" t="s">
        <v>30</v>
      </c>
      <c r="B531" s="174" t="s">
        <v>836</v>
      </c>
      <c r="C531" s="1" t="s">
        <v>840</v>
      </c>
      <c r="E531" s="1" t="s">
        <v>11</v>
      </c>
      <c r="F531" s="1" t="s">
        <v>841</v>
      </c>
      <c r="G531" s="1">
        <v>0</v>
      </c>
      <c r="H531" s="1">
        <v>77000</v>
      </c>
      <c r="I531" s="98">
        <f t="shared" si="25"/>
        <v>174000</v>
      </c>
    </row>
    <row r="532" spans="1:9" x14ac:dyDescent="0.25">
      <c r="A532" t="s">
        <v>30</v>
      </c>
      <c r="B532" s="168" t="s">
        <v>836</v>
      </c>
      <c r="C532" s="1" t="s">
        <v>197</v>
      </c>
      <c r="E532" s="1" t="s">
        <v>11</v>
      </c>
      <c r="F532" s="1" t="s">
        <v>842</v>
      </c>
      <c r="G532" s="1">
        <v>0</v>
      </c>
      <c r="H532" s="1">
        <v>69000</v>
      </c>
      <c r="I532" s="1">
        <f t="shared" si="25"/>
        <v>158000</v>
      </c>
    </row>
    <row r="533" spans="1:9" x14ac:dyDescent="0.25">
      <c r="A533" t="s">
        <v>142</v>
      </c>
      <c r="B533" s="168" t="s">
        <v>856</v>
      </c>
      <c r="C533" s="1" t="s">
        <v>103</v>
      </c>
      <c r="D533" s="1" t="s">
        <v>1591</v>
      </c>
      <c r="E533" s="1" t="s">
        <v>11</v>
      </c>
      <c r="G533" s="1">
        <v>0</v>
      </c>
      <c r="H533" s="1">
        <v>54000</v>
      </c>
      <c r="I533" s="1">
        <f t="shared" si="25"/>
        <v>128000</v>
      </c>
    </row>
    <row r="534" spans="1:9" s="135" customFormat="1" x14ac:dyDescent="0.25">
      <c r="A534" s="135" t="s">
        <v>405</v>
      </c>
      <c r="B534" s="166" t="s">
        <v>857</v>
      </c>
      <c r="C534" s="136" t="s">
        <v>22</v>
      </c>
      <c r="D534" s="136" t="s">
        <v>80</v>
      </c>
      <c r="E534" s="136" t="s">
        <v>13</v>
      </c>
      <c r="F534" s="136" t="s">
        <v>1989</v>
      </c>
      <c r="G534" s="136">
        <v>2</v>
      </c>
      <c r="H534" s="137">
        <v>25000</v>
      </c>
      <c r="I534" s="137">
        <f t="shared" si="25"/>
        <v>70000</v>
      </c>
    </row>
    <row r="535" spans="1:9" s="135" customFormat="1" x14ac:dyDescent="0.25">
      <c r="A535" s="135" t="s">
        <v>405</v>
      </c>
      <c r="B535" s="166" t="s">
        <v>858</v>
      </c>
      <c r="C535" s="136">
        <v>1998</v>
      </c>
      <c r="D535" s="136" t="s">
        <v>32</v>
      </c>
      <c r="E535" s="136" t="s">
        <v>13</v>
      </c>
      <c r="F535" s="135" t="s">
        <v>1990</v>
      </c>
      <c r="G535" s="136">
        <v>1</v>
      </c>
      <c r="H535" s="137">
        <v>25000</v>
      </c>
      <c r="I535" s="137">
        <f t="shared" si="25"/>
        <v>70000</v>
      </c>
    </row>
    <row r="536" spans="1:9" x14ac:dyDescent="0.25">
      <c r="A536" s="135" t="s">
        <v>774</v>
      </c>
      <c r="B536" s="166" t="s">
        <v>859</v>
      </c>
      <c r="C536" s="136" t="s">
        <v>100</v>
      </c>
      <c r="D536" s="136" t="s">
        <v>838</v>
      </c>
      <c r="E536" s="136" t="s">
        <v>11</v>
      </c>
      <c r="F536" s="135" t="s">
        <v>860</v>
      </c>
      <c r="G536" s="136">
        <v>1</v>
      </c>
      <c r="H536" s="137">
        <v>74000</v>
      </c>
      <c r="I536" s="137">
        <f t="shared" si="25"/>
        <v>168000</v>
      </c>
    </row>
    <row r="537" spans="1:9" x14ac:dyDescent="0.25">
      <c r="A537" t="s">
        <v>774</v>
      </c>
      <c r="B537" s="168" t="s">
        <v>859</v>
      </c>
      <c r="C537" s="1" t="s">
        <v>113</v>
      </c>
      <c r="E537" s="1" t="s">
        <v>11</v>
      </c>
      <c r="G537" s="1">
        <v>0</v>
      </c>
      <c r="H537" s="1">
        <v>52000</v>
      </c>
      <c r="I537" s="1">
        <f t="shared" si="25"/>
        <v>124000</v>
      </c>
    </row>
    <row r="538" spans="1:9" x14ac:dyDescent="0.25">
      <c r="A538" t="s">
        <v>30</v>
      </c>
      <c r="B538" s="168" t="s">
        <v>1808</v>
      </c>
      <c r="C538" s="1" t="s">
        <v>448</v>
      </c>
      <c r="E538" s="1" t="s">
        <v>11</v>
      </c>
      <c r="G538" s="1">
        <v>0</v>
      </c>
      <c r="H538" s="98">
        <v>74000</v>
      </c>
      <c r="I538" s="98">
        <f t="shared" si="25"/>
        <v>168000</v>
      </c>
    </row>
    <row r="539" spans="1:9" x14ac:dyDescent="0.25">
      <c r="A539" t="s">
        <v>647</v>
      </c>
      <c r="B539" s="168" t="s">
        <v>861</v>
      </c>
      <c r="C539" s="1">
        <v>2011</v>
      </c>
      <c r="E539" s="1" t="s">
        <v>11</v>
      </c>
      <c r="G539" s="1">
        <v>0</v>
      </c>
      <c r="H539" s="1">
        <v>61000</v>
      </c>
      <c r="I539" s="1">
        <f t="shared" ref="I539:I552" si="26">H539*2+20000</f>
        <v>142000</v>
      </c>
    </row>
    <row r="540" spans="1:9" x14ac:dyDescent="0.25">
      <c r="A540" t="s">
        <v>647</v>
      </c>
      <c r="B540" s="168" t="s">
        <v>862</v>
      </c>
      <c r="C540" s="1" t="s">
        <v>863</v>
      </c>
      <c r="E540" s="1" t="s">
        <v>11</v>
      </c>
      <c r="G540" s="1">
        <v>0</v>
      </c>
      <c r="H540" s="1">
        <v>54000</v>
      </c>
      <c r="I540" s="1">
        <f t="shared" si="26"/>
        <v>128000</v>
      </c>
    </row>
    <row r="541" spans="1:9" s="135" customFormat="1" x14ac:dyDescent="0.25">
      <c r="A541" s="135" t="s">
        <v>234</v>
      </c>
      <c r="B541" s="166" t="s">
        <v>1626</v>
      </c>
      <c r="C541" s="136" t="s">
        <v>377</v>
      </c>
      <c r="D541" s="136" t="s">
        <v>178</v>
      </c>
      <c r="E541" s="136" t="s">
        <v>11</v>
      </c>
      <c r="G541" s="136">
        <v>1</v>
      </c>
      <c r="H541" s="137">
        <v>54000</v>
      </c>
      <c r="I541" s="137">
        <f t="shared" si="26"/>
        <v>128000</v>
      </c>
    </row>
    <row r="542" spans="1:9" x14ac:dyDescent="0.25">
      <c r="A542" t="s">
        <v>144</v>
      </c>
      <c r="B542" s="168" t="s">
        <v>864</v>
      </c>
      <c r="C542" s="1" t="s">
        <v>865</v>
      </c>
      <c r="E542" s="1" t="s">
        <v>11</v>
      </c>
      <c r="F542" s="1" t="s">
        <v>866</v>
      </c>
      <c r="G542" s="1">
        <v>0</v>
      </c>
      <c r="H542" s="98">
        <v>49000</v>
      </c>
      <c r="I542" s="98">
        <f t="shared" si="26"/>
        <v>118000</v>
      </c>
    </row>
    <row r="543" spans="1:9" x14ac:dyDescent="0.25">
      <c r="A543" t="s">
        <v>144</v>
      </c>
      <c r="B543" s="168" t="s">
        <v>867</v>
      </c>
      <c r="C543" s="1" t="s">
        <v>868</v>
      </c>
      <c r="D543" s="1" t="s">
        <v>138</v>
      </c>
      <c r="E543" s="1" t="s">
        <v>11</v>
      </c>
      <c r="F543" s="1" t="s">
        <v>1971</v>
      </c>
      <c r="G543" s="1">
        <v>0</v>
      </c>
      <c r="H543" s="1">
        <v>53000</v>
      </c>
      <c r="I543" s="1">
        <f t="shared" si="26"/>
        <v>126000</v>
      </c>
    </row>
    <row r="544" spans="1:9" x14ac:dyDescent="0.25">
      <c r="A544" t="s">
        <v>144</v>
      </c>
      <c r="B544" s="168" t="s">
        <v>869</v>
      </c>
      <c r="C544" s="1" t="s">
        <v>16</v>
      </c>
      <c r="E544" s="1" t="s">
        <v>13</v>
      </c>
      <c r="F544" s="1" t="s">
        <v>870</v>
      </c>
      <c r="G544" s="1">
        <v>0</v>
      </c>
      <c r="I544" s="1">
        <f t="shared" si="26"/>
        <v>20000</v>
      </c>
    </row>
    <row r="545" spans="1:9" ht="17.25" customHeight="1" x14ac:dyDescent="0.25">
      <c r="A545" t="s">
        <v>871</v>
      </c>
      <c r="B545" s="168" t="s">
        <v>872</v>
      </c>
      <c r="C545" s="1" t="s">
        <v>16</v>
      </c>
      <c r="E545" s="1" t="s">
        <v>11</v>
      </c>
      <c r="G545" s="1">
        <v>0</v>
      </c>
      <c r="H545" s="98">
        <v>54000</v>
      </c>
      <c r="I545" s="98">
        <f t="shared" si="26"/>
        <v>128000</v>
      </c>
    </row>
    <row r="546" spans="1:9" x14ac:dyDescent="0.25">
      <c r="A546" t="s">
        <v>873</v>
      </c>
      <c r="B546" s="168" t="s">
        <v>874</v>
      </c>
      <c r="C546" s="1" t="s">
        <v>10</v>
      </c>
      <c r="E546" s="1" t="s">
        <v>11</v>
      </c>
      <c r="F546" s="1" t="s">
        <v>875</v>
      </c>
      <c r="G546" s="1">
        <v>0</v>
      </c>
      <c r="H546" s="1">
        <v>35000</v>
      </c>
      <c r="I546" s="98">
        <f t="shared" si="26"/>
        <v>90000</v>
      </c>
    </row>
    <row r="547" spans="1:9" x14ac:dyDescent="0.25">
      <c r="A547" t="s">
        <v>876</v>
      </c>
      <c r="B547" s="168" t="s">
        <v>877</v>
      </c>
      <c r="C547" s="1" t="s">
        <v>197</v>
      </c>
      <c r="E547" s="1" t="s">
        <v>11</v>
      </c>
      <c r="H547" s="98">
        <v>40000</v>
      </c>
      <c r="I547" s="98">
        <f t="shared" si="26"/>
        <v>100000</v>
      </c>
    </row>
    <row r="548" spans="1:9" s="135" customFormat="1" x14ac:dyDescent="0.25">
      <c r="A548" s="135" t="s">
        <v>84</v>
      </c>
      <c r="B548" s="166" t="s">
        <v>878</v>
      </c>
      <c r="C548" s="136"/>
      <c r="D548" s="136" t="s">
        <v>589</v>
      </c>
      <c r="E548" s="136" t="s">
        <v>11</v>
      </c>
      <c r="G548" s="136">
        <v>1</v>
      </c>
      <c r="H548" s="137">
        <v>40000</v>
      </c>
      <c r="I548" s="137">
        <f t="shared" si="26"/>
        <v>100000</v>
      </c>
    </row>
    <row r="549" spans="1:9" x14ac:dyDescent="0.25">
      <c r="A549" t="s">
        <v>879</v>
      </c>
      <c r="B549" s="168" t="s">
        <v>880</v>
      </c>
      <c r="C549" s="1">
        <v>2001</v>
      </c>
      <c r="E549" s="1" t="s">
        <v>11</v>
      </c>
      <c r="G549" s="1">
        <v>0</v>
      </c>
      <c r="H549" s="1">
        <v>50000</v>
      </c>
      <c r="I549" s="1">
        <f t="shared" si="26"/>
        <v>120000</v>
      </c>
    </row>
    <row r="550" spans="1:9" s="135" customFormat="1" x14ac:dyDescent="0.25">
      <c r="A550" s="135" t="s">
        <v>873</v>
      </c>
      <c r="B550" s="166" t="s">
        <v>881</v>
      </c>
      <c r="C550" s="136" t="s">
        <v>103</v>
      </c>
      <c r="D550" s="136" t="s">
        <v>207</v>
      </c>
      <c r="E550" s="136" t="s">
        <v>11</v>
      </c>
      <c r="F550" s="136" t="s">
        <v>882</v>
      </c>
      <c r="G550" s="136">
        <v>1</v>
      </c>
      <c r="H550" s="137">
        <v>35000</v>
      </c>
      <c r="I550" s="137">
        <f t="shared" si="26"/>
        <v>90000</v>
      </c>
    </row>
    <row r="551" spans="1:9" x14ac:dyDescent="0.25">
      <c r="A551" t="s">
        <v>225</v>
      </c>
      <c r="B551" s="168" t="s">
        <v>883</v>
      </c>
      <c r="C551" s="1" t="s">
        <v>103</v>
      </c>
      <c r="D551" s="1" t="s">
        <v>688</v>
      </c>
      <c r="E551" s="1" t="s">
        <v>11</v>
      </c>
      <c r="G551" s="1">
        <v>0</v>
      </c>
      <c r="H551" s="1">
        <v>51000</v>
      </c>
      <c r="I551" s="98">
        <f t="shared" si="26"/>
        <v>122000</v>
      </c>
    </row>
    <row r="552" spans="1:9" x14ac:dyDescent="0.25">
      <c r="A552" t="s">
        <v>225</v>
      </c>
      <c r="B552" s="168" t="s">
        <v>884</v>
      </c>
      <c r="C552" s="1" t="s">
        <v>885</v>
      </c>
      <c r="E552" s="1" t="s">
        <v>11</v>
      </c>
      <c r="G552" s="1">
        <v>0</v>
      </c>
      <c r="H552" s="98">
        <v>35000</v>
      </c>
      <c r="I552" s="98">
        <f t="shared" si="26"/>
        <v>90000</v>
      </c>
    </row>
    <row r="553" spans="1:9" x14ac:dyDescent="0.25">
      <c r="A553" t="s">
        <v>60</v>
      </c>
      <c r="B553" s="168" t="s">
        <v>886</v>
      </c>
      <c r="C553" s="1" t="s">
        <v>885</v>
      </c>
    </row>
    <row r="554" spans="1:9" x14ac:dyDescent="0.25">
      <c r="A554" t="s">
        <v>241</v>
      </c>
      <c r="B554" s="168" t="s">
        <v>887</v>
      </c>
      <c r="C554" s="1" t="s">
        <v>59</v>
      </c>
      <c r="E554" s="1" t="s">
        <v>11</v>
      </c>
      <c r="G554" s="1">
        <v>0</v>
      </c>
      <c r="H554" s="1">
        <v>43000</v>
      </c>
      <c r="I554" s="98">
        <f>H554*2+20000</f>
        <v>106000</v>
      </c>
    </row>
    <row r="555" spans="1:9" x14ac:dyDescent="0.25">
      <c r="A555" t="s">
        <v>490</v>
      </c>
      <c r="B555" s="168" t="s">
        <v>48</v>
      </c>
      <c r="E555" s="1" t="s">
        <v>11</v>
      </c>
      <c r="G555" s="1">
        <v>1</v>
      </c>
      <c r="H555" s="98"/>
      <c r="I555" s="98"/>
    </row>
    <row r="556" spans="1:9" x14ac:dyDescent="0.25">
      <c r="B556" s="168" t="s">
        <v>888</v>
      </c>
      <c r="D556" s="1" t="s">
        <v>333</v>
      </c>
      <c r="E556" s="1" t="s">
        <v>11</v>
      </c>
      <c r="F556" s="1" t="s">
        <v>48</v>
      </c>
      <c r="G556" s="1">
        <v>1</v>
      </c>
    </row>
    <row r="557" spans="1:9" s="135" customFormat="1" x14ac:dyDescent="0.25">
      <c r="A557" s="135" t="s">
        <v>245</v>
      </c>
      <c r="B557" s="166" t="s">
        <v>889</v>
      </c>
      <c r="C557" s="136" t="s">
        <v>103</v>
      </c>
      <c r="D557" s="136" t="s">
        <v>1947</v>
      </c>
      <c r="E557" s="136" t="s">
        <v>11</v>
      </c>
      <c r="G557" s="136">
        <v>1</v>
      </c>
      <c r="H557" s="136">
        <v>35000</v>
      </c>
      <c r="I557" s="137">
        <f t="shared" ref="I557:I570" si="27">H557*2+20000</f>
        <v>90000</v>
      </c>
    </row>
    <row r="558" spans="1:9" s="135" customFormat="1" x14ac:dyDescent="0.25">
      <c r="A558" s="135" t="s">
        <v>225</v>
      </c>
      <c r="B558" s="166" t="s">
        <v>891</v>
      </c>
      <c r="C558" s="136">
        <v>2000</v>
      </c>
      <c r="D558" s="136" t="s">
        <v>1877</v>
      </c>
      <c r="E558" s="136" t="s">
        <v>13</v>
      </c>
      <c r="G558" s="136">
        <v>2</v>
      </c>
      <c r="H558" s="137">
        <v>35000</v>
      </c>
      <c r="I558" s="137">
        <f t="shared" si="27"/>
        <v>90000</v>
      </c>
    </row>
    <row r="559" spans="1:9" s="135" customFormat="1" x14ac:dyDescent="0.25">
      <c r="A559" s="135" t="s">
        <v>225</v>
      </c>
      <c r="B559" s="166" t="s">
        <v>781</v>
      </c>
      <c r="C559" s="136" t="s">
        <v>782</v>
      </c>
      <c r="D559" s="136" t="s">
        <v>1952</v>
      </c>
      <c r="E559" s="136" t="s">
        <v>11</v>
      </c>
      <c r="F559" s="135" t="s">
        <v>783</v>
      </c>
      <c r="G559" s="136">
        <v>2</v>
      </c>
      <c r="H559" s="137">
        <v>54000</v>
      </c>
      <c r="I559" s="137">
        <f t="shared" si="27"/>
        <v>128000</v>
      </c>
    </row>
    <row r="560" spans="1:9" s="135" customFormat="1" x14ac:dyDescent="0.25">
      <c r="A560" s="135" t="s">
        <v>245</v>
      </c>
      <c r="B560" s="166" t="s">
        <v>895</v>
      </c>
      <c r="C560" s="136" t="s">
        <v>896</v>
      </c>
      <c r="D560" s="136" t="s">
        <v>80</v>
      </c>
      <c r="E560" s="136" t="s">
        <v>13</v>
      </c>
      <c r="G560" s="136">
        <v>2</v>
      </c>
      <c r="H560" s="137">
        <v>30000</v>
      </c>
      <c r="I560" s="137">
        <f t="shared" si="27"/>
        <v>80000</v>
      </c>
    </row>
    <row r="561" spans="1:12" x14ac:dyDescent="0.25">
      <c r="A561" t="s">
        <v>241</v>
      </c>
      <c r="B561" s="168" t="s">
        <v>897</v>
      </c>
      <c r="C561" s="1" t="s">
        <v>1326</v>
      </c>
      <c r="D561" s="1" t="s">
        <v>1963</v>
      </c>
      <c r="E561" s="1" t="s">
        <v>11</v>
      </c>
      <c r="G561" s="1">
        <v>0</v>
      </c>
      <c r="H561" s="98">
        <v>50000</v>
      </c>
      <c r="I561" s="98">
        <f t="shared" si="27"/>
        <v>120000</v>
      </c>
    </row>
    <row r="562" spans="1:12" x14ac:dyDescent="0.25">
      <c r="A562" t="s">
        <v>241</v>
      </c>
      <c r="B562" s="168" t="s">
        <v>898</v>
      </c>
      <c r="C562" s="1" t="s">
        <v>521</v>
      </c>
      <c r="E562" s="1" t="s">
        <v>11</v>
      </c>
      <c r="F562" t="s">
        <v>537</v>
      </c>
      <c r="G562" s="1">
        <v>0</v>
      </c>
      <c r="H562" s="98">
        <v>44000</v>
      </c>
      <c r="I562" s="98">
        <f t="shared" si="27"/>
        <v>108000</v>
      </c>
    </row>
    <row r="563" spans="1:12" x14ac:dyDescent="0.25">
      <c r="A563" t="s">
        <v>241</v>
      </c>
      <c r="B563" s="168" t="s">
        <v>899</v>
      </c>
      <c r="C563" s="1" t="s">
        <v>54</v>
      </c>
      <c r="D563" s="1" t="s">
        <v>1968</v>
      </c>
      <c r="E563" s="1" t="s">
        <v>11</v>
      </c>
      <c r="G563" s="1">
        <v>0</v>
      </c>
      <c r="H563" s="98">
        <v>50000</v>
      </c>
      <c r="I563" s="98">
        <f t="shared" si="27"/>
        <v>120000</v>
      </c>
    </row>
    <row r="564" spans="1:12" x14ac:dyDescent="0.25">
      <c r="A564" t="s">
        <v>30</v>
      </c>
      <c r="B564" s="168" t="s">
        <v>900</v>
      </c>
      <c r="C564" s="1" t="s">
        <v>901</v>
      </c>
      <c r="D564" s="1" t="s">
        <v>1635</v>
      </c>
      <c r="E564" s="1" t="s">
        <v>11</v>
      </c>
      <c r="G564" s="1">
        <v>0</v>
      </c>
      <c r="H564" s="1">
        <v>63000</v>
      </c>
      <c r="I564" s="98">
        <f t="shared" si="27"/>
        <v>146000</v>
      </c>
      <c r="L564" t="s">
        <v>902</v>
      </c>
    </row>
    <row r="565" spans="1:12" x14ac:dyDescent="0.25">
      <c r="A565" t="s">
        <v>174</v>
      </c>
      <c r="B565" s="168" t="s">
        <v>903</v>
      </c>
      <c r="C565" s="1" t="s">
        <v>54</v>
      </c>
      <c r="D565" s="1" t="s">
        <v>838</v>
      </c>
      <c r="E565" s="1" t="s">
        <v>11</v>
      </c>
      <c r="G565" s="1">
        <v>0</v>
      </c>
      <c r="H565" s="1">
        <v>82000</v>
      </c>
      <c r="I565" s="98">
        <f t="shared" si="27"/>
        <v>184000</v>
      </c>
    </row>
    <row r="566" spans="1:12" x14ac:dyDescent="0.25">
      <c r="A566" t="s">
        <v>245</v>
      </c>
      <c r="B566" s="168" t="s">
        <v>904</v>
      </c>
      <c r="C566" s="1" t="s">
        <v>103</v>
      </c>
      <c r="D566" s="1" t="s">
        <v>1635</v>
      </c>
      <c r="E566" s="1" t="s">
        <v>11</v>
      </c>
      <c r="G566" s="1">
        <v>0</v>
      </c>
      <c r="H566" s="98">
        <v>38000</v>
      </c>
      <c r="I566" s="98">
        <f t="shared" si="27"/>
        <v>96000</v>
      </c>
    </row>
    <row r="567" spans="1:12" x14ac:dyDescent="0.25">
      <c r="A567" t="s">
        <v>245</v>
      </c>
      <c r="B567" s="168" t="s">
        <v>905</v>
      </c>
      <c r="C567" s="1" t="s">
        <v>328</v>
      </c>
      <c r="D567" s="1" t="s">
        <v>1591</v>
      </c>
      <c r="E567" s="1" t="s">
        <v>11</v>
      </c>
      <c r="G567" s="1">
        <v>0</v>
      </c>
      <c r="H567" s="1">
        <v>61000</v>
      </c>
      <c r="I567" s="1">
        <f t="shared" si="27"/>
        <v>142000</v>
      </c>
    </row>
    <row r="568" spans="1:12" x14ac:dyDescent="0.25">
      <c r="A568" t="s">
        <v>225</v>
      </c>
      <c r="B568" s="168" t="s">
        <v>906</v>
      </c>
      <c r="C568" s="1" t="s">
        <v>59</v>
      </c>
      <c r="D568" s="1" t="s">
        <v>219</v>
      </c>
      <c r="E568" s="1" t="s">
        <v>13</v>
      </c>
      <c r="F568" s="1" t="s">
        <v>907</v>
      </c>
      <c r="G568" s="1">
        <v>0</v>
      </c>
      <c r="H568" s="98">
        <v>45000</v>
      </c>
      <c r="I568" s="98">
        <f t="shared" si="27"/>
        <v>110000</v>
      </c>
    </row>
    <row r="569" spans="1:12" s="135" customFormat="1" x14ac:dyDescent="0.25">
      <c r="A569" s="135" t="s">
        <v>60</v>
      </c>
      <c r="B569" s="166" t="s">
        <v>908</v>
      </c>
      <c r="C569" s="136" t="s">
        <v>909</v>
      </c>
      <c r="D569" s="136" t="s">
        <v>1945</v>
      </c>
      <c r="E569" s="136" t="s">
        <v>13</v>
      </c>
      <c r="F569" s="136" t="s">
        <v>198</v>
      </c>
      <c r="G569" s="136">
        <v>0</v>
      </c>
      <c r="H569" s="136">
        <v>48000</v>
      </c>
      <c r="I569" s="136">
        <f t="shared" si="27"/>
        <v>116000</v>
      </c>
    </row>
    <row r="570" spans="1:12" x14ac:dyDescent="0.25">
      <c r="A570" t="s">
        <v>60</v>
      </c>
      <c r="B570" s="168" t="s">
        <v>910</v>
      </c>
      <c r="C570" s="1" t="s">
        <v>575</v>
      </c>
      <c r="D570" s="1" t="s">
        <v>1945</v>
      </c>
      <c r="E570" s="1" t="s">
        <v>11</v>
      </c>
      <c r="G570" s="1">
        <v>0</v>
      </c>
      <c r="H570" s="98">
        <v>45000</v>
      </c>
      <c r="I570" s="98">
        <f t="shared" si="27"/>
        <v>110000</v>
      </c>
    </row>
    <row r="571" spans="1:12" x14ac:dyDescent="0.25">
      <c r="A571" t="s">
        <v>911</v>
      </c>
      <c r="B571" s="168" t="s">
        <v>911</v>
      </c>
      <c r="C571" s="1">
        <v>1980</v>
      </c>
      <c r="E571" s="1" t="s">
        <v>11</v>
      </c>
    </row>
    <row r="572" spans="1:12" s="135" customFormat="1" x14ac:dyDescent="0.25">
      <c r="A572" s="135" t="s">
        <v>200</v>
      </c>
      <c r="B572" s="166" t="s">
        <v>912</v>
      </c>
      <c r="C572" s="136" t="s">
        <v>913</v>
      </c>
      <c r="D572" s="136" t="s">
        <v>1949</v>
      </c>
      <c r="E572" s="136" t="s">
        <v>11</v>
      </c>
      <c r="G572" s="136">
        <v>1</v>
      </c>
      <c r="H572" s="137">
        <v>35000</v>
      </c>
      <c r="I572" s="137">
        <f>H572*2+20000</f>
        <v>90000</v>
      </c>
    </row>
    <row r="573" spans="1:12" s="135" customFormat="1" x14ac:dyDescent="0.25">
      <c r="A573" s="135" t="s">
        <v>144</v>
      </c>
      <c r="B573" s="166" t="s">
        <v>914</v>
      </c>
      <c r="C573" s="136" t="s">
        <v>17</v>
      </c>
      <c r="D573" s="136" t="s">
        <v>315</v>
      </c>
      <c r="E573" s="136" t="s">
        <v>13</v>
      </c>
      <c r="G573" s="136">
        <v>1</v>
      </c>
      <c r="H573" s="137">
        <v>35000</v>
      </c>
      <c r="I573" s="137">
        <f>H573*2+20000</f>
        <v>90000</v>
      </c>
    </row>
    <row r="574" spans="1:12" x14ac:dyDescent="0.25">
      <c r="A574" t="s">
        <v>1079</v>
      </c>
      <c r="B574" s="168" t="s">
        <v>1583</v>
      </c>
      <c r="C574" s="1" t="s">
        <v>1080</v>
      </c>
      <c r="D574" s="1" t="s">
        <v>131</v>
      </c>
      <c r="E574" s="1" t="s">
        <v>11</v>
      </c>
      <c r="G574" s="1">
        <v>0</v>
      </c>
      <c r="H574" s="98">
        <v>39000</v>
      </c>
      <c r="I574" s="98">
        <f t="shared" ref="I574:I604" si="28">H574*2+20000</f>
        <v>98000</v>
      </c>
    </row>
    <row r="575" spans="1:12" x14ac:dyDescent="0.25">
      <c r="A575" t="s">
        <v>144</v>
      </c>
      <c r="B575" s="168" t="s">
        <v>917</v>
      </c>
      <c r="C575" s="1" t="s">
        <v>318</v>
      </c>
      <c r="D575" s="1" t="s">
        <v>1947</v>
      </c>
      <c r="E575" s="1" t="s">
        <v>11</v>
      </c>
      <c r="G575" s="1">
        <v>0</v>
      </c>
      <c r="H575" s="98">
        <v>52000</v>
      </c>
      <c r="I575" s="98">
        <f t="shared" si="28"/>
        <v>124000</v>
      </c>
    </row>
    <row r="576" spans="1:12" x14ac:dyDescent="0.25">
      <c r="A576" t="s">
        <v>245</v>
      </c>
      <c r="B576" s="168" t="s">
        <v>918</v>
      </c>
      <c r="C576" s="1" t="s">
        <v>189</v>
      </c>
      <c r="D576" s="1">
        <v>112</v>
      </c>
      <c r="E576" s="1" t="s">
        <v>11</v>
      </c>
      <c r="G576" s="1">
        <v>0</v>
      </c>
      <c r="H576" s="98">
        <v>45000</v>
      </c>
      <c r="I576" s="98">
        <f t="shared" si="28"/>
        <v>110000</v>
      </c>
    </row>
    <row r="577" spans="1:9" x14ac:dyDescent="0.25">
      <c r="A577" t="s">
        <v>334</v>
      </c>
      <c r="B577" s="168" t="s">
        <v>919</v>
      </c>
      <c r="C577" s="1" t="s">
        <v>17</v>
      </c>
      <c r="D577" s="1" t="s">
        <v>138</v>
      </c>
      <c r="E577" s="1" t="s">
        <v>11</v>
      </c>
      <c r="G577" s="1">
        <v>0</v>
      </c>
      <c r="H577" s="98">
        <v>45000</v>
      </c>
      <c r="I577" s="98">
        <f t="shared" si="28"/>
        <v>110000</v>
      </c>
    </row>
    <row r="578" spans="1:9" x14ac:dyDescent="0.25">
      <c r="A578" t="s">
        <v>88</v>
      </c>
      <c r="B578" s="168" t="s">
        <v>920</v>
      </c>
      <c r="C578" s="1" t="s">
        <v>921</v>
      </c>
      <c r="E578" s="1" t="s">
        <v>11</v>
      </c>
      <c r="H578" s="1">
        <v>27000</v>
      </c>
      <c r="I578" s="98">
        <f t="shared" si="28"/>
        <v>74000</v>
      </c>
    </row>
    <row r="579" spans="1:9" x14ac:dyDescent="0.25">
      <c r="A579" t="s">
        <v>922</v>
      </c>
      <c r="B579" s="168" t="s">
        <v>923</v>
      </c>
      <c r="C579" s="1" t="s">
        <v>197</v>
      </c>
      <c r="E579" s="1" t="s">
        <v>11</v>
      </c>
      <c r="G579" s="1">
        <v>0</v>
      </c>
      <c r="H579" s="98">
        <v>35000</v>
      </c>
      <c r="I579" s="98">
        <f t="shared" si="28"/>
        <v>90000</v>
      </c>
    </row>
    <row r="580" spans="1:9" x14ac:dyDescent="0.25">
      <c r="A580" t="s">
        <v>60</v>
      </c>
      <c r="B580" s="168" t="s">
        <v>924</v>
      </c>
      <c r="C580" s="1" t="s">
        <v>29</v>
      </c>
      <c r="E580" s="1" t="s">
        <v>11</v>
      </c>
      <c r="G580" s="1">
        <v>0</v>
      </c>
      <c r="H580" s="98">
        <v>53000</v>
      </c>
      <c r="I580" s="98">
        <f t="shared" si="28"/>
        <v>126000</v>
      </c>
    </row>
    <row r="581" spans="1:9" s="135" customFormat="1" x14ac:dyDescent="0.25">
      <c r="A581" s="135" t="s">
        <v>60</v>
      </c>
      <c r="B581" s="166" t="s">
        <v>2043</v>
      </c>
      <c r="C581" s="136" t="s">
        <v>119</v>
      </c>
      <c r="D581" s="136" t="s">
        <v>1945</v>
      </c>
      <c r="E581" s="136" t="s">
        <v>13</v>
      </c>
      <c r="F581" s="136" t="s">
        <v>198</v>
      </c>
      <c r="G581" s="136">
        <v>0</v>
      </c>
      <c r="H581" s="137">
        <v>43000</v>
      </c>
      <c r="I581" s="137">
        <f t="shared" si="28"/>
        <v>106000</v>
      </c>
    </row>
    <row r="582" spans="1:9" x14ac:dyDescent="0.25">
      <c r="A582" t="s">
        <v>548</v>
      </c>
      <c r="B582" s="168" t="s">
        <v>925</v>
      </c>
      <c r="D582" s="1" t="s">
        <v>322</v>
      </c>
      <c r="E582" s="1" t="s">
        <v>11</v>
      </c>
      <c r="H582" s="98">
        <v>32000</v>
      </c>
      <c r="I582" s="98">
        <f t="shared" si="28"/>
        <v>84000</v>
      </c>
    </row>
    <row r="583" spans="1:9" x14ac:dyDescent="0.25">
      <c r="A583" t="s">
        <v>216</v>
      </c>
      <c r="B583" s="168" t="s">
        <v>925</v>
      </c>
      <c r="C583" s="1" t="s">
        <v>926</v>
      </c>
      <c r="D583" s="1">
        <v>123</v>
      </c>
      <c r="E583" s="1" t="s">
        <v>11</v>
      </c>
      <c r="F583" t="s">
        <v>537</v>
      </c>
      <c r="H583" s="1">
        <v>51000</v>
      </c>
      <c r="I583" s="98">
        <f t="shared" si="28"/>
        <v>122000</v>
      </c>
    </row>
    <row r="584" spans="1:9" x14ac:dyDescent="0.25">
      <c r="A584" t="s">
        <v>548</v>
      </c>
      <c r="B584" s="168" t="s">
        <v>1886</v>
      </c>
      <c r="C584" s="1" t="s">
        <v>26</v>
      </c>
      <c r="D584" s="1" t="s">
        <v>1905</v>
      </c>
      <c r="E584" s="1" t="s">
        <v>11</v>
      </c>
      <c r="F584" s="1" t="s">
        <v>1633</v>
      </c>
      <c r="G584" s="1">
        <v>0</v>
      </c>
      <c r="H584" s="98">
        <v>42000</v>
      </c>
      <c r="I584" s="98">
        <f t="shared" si="28"/>
        <v>104000</v>
      </c>
    </row>
    <row r="585" spans="1:9" s="135" customFormat="1" x14ac:dyDescent="0.25">
      <c r="A585" s="135" t="s">
        <v>1908</v>
      </c>
      <c r="B585" s="166" t="s">
        <v>1907</v>
      </c>
      <c r="C585" s="136" t="s">
        <v>40</v>
      </c>
      <c r="D585" s="136" t="s">
        <v>391</v>
      </c>
      <c r="E585" s="136" t="s">
        <v>11</v>
      </c>
      <c r="G585" s="136">
        <v>1</v>
      </c>
      <c r="H585" s="136">
        <v>57000</v>
      </c>
      <c r="I585" s="137">
        <f t="shared" si="28"/>
        <v>134000</v>
      </c>
    </row>
    <row r="586" spans="1:9" s="135" customFormat="1" x14ac:dyDescent="0.25">
      <c r="A586" s="135" t="s">
        <v>483</v>
      </c>
      <c r="B586" s="166" t="s">
        <v>927</v>
      </c>
      <c r="C586" s="136" t="s">
        <v>214</v>
      </c>
      <c r="D586" s="136" t="s">
        <v>1591</v>
      </c>
      <c r="E586" s="136" t="s">
        <v>11</v>
      </c>
      <c r="G586" s="136">
        <v>1</v>
      </c>
      <c r="H586" s="136">
        <v>50000</v>
      </c>
      <c r="I586" s="137">
        <f t="shared" si="28"/>
        <v>120000</v>
      </c>
    </row>
    <row r="587" spans="1:9" s="135" customFormat="1" x14ac:dyDescent="0.25">
      <c r="A587" s="135" t="s">
        <v>60</v>
      </c>
      <c r="B587" s="166" t="s">
        <v>928</v>
      </c>
      <c r="C587" s="136" t="s">
        <v>103</v>
      </c>
      <c r="D587" s="136" t="s">
        <v>2029</v>
      </c>
      <c r="E587" s="136" t="s">
        <v>11</v>
      </c>
      <c r="F587" s="135" t="s">
        <v>1633</v>
      </c>
      <c r="G587" s="136">
        <v>2</v>
      </c>
      <c r="H587" s="136">
        <v>69000</v>
      </c>
      <c r="I587" s="137">
        <f t="shared" si="28"/>
        <v>158000</v>
      </c>
    </row>
    <row r="588" spans="1:9" x14ac:dyDescent="0.25">
      <c r="A588" t="s">
        <v>60</v>
      </c>
      <c r="B588" s="168" t="s">
        <v>929</v>
      </c>
      <c r="C588" s="1" t="s">
        <v>103</v>
      </c>
      <c r="D588" s="1" t="s">
        <v>391</v>
      </c>
      <c r="E588" s="1" t="s">
        <v>11</v>
      </c>
      <c r="G588" s="1">
        <v>0</v>
      </c>
      <c r="H588" s="98">
        <v>40000</v>
      </c>
      <c r="I588" s="98">
        <f t="shared" si="28"/>
        <v>100000</v>
      </c>
    </row>
    <row r="589" spans="1:9" x14ac:dyDescent="0.25">
      <c r="A589" t="s">
        <v>245</v>
      </c>
      <c r="B589" s="168" t="s">
        <v>930</v>
      </c>
      <c r="C589" s="1" t="s">
        <v>931</v>
      </c>
      <c r="D589" s="1" t="s">
        <v>126</v>
      </c>
      <c r="E589" s="1" t="s">
        <v>11</v>
      </c>
      <c r="G589" s="1">
        <v>0</v>
      </c>
      <c r="H589" s="98">
        <v>54000</v>
      </c>
      <c r="I589" s="98">
        <f t="shared" si="28"/>
        <v>128000</v>
      </c>
    </row>
    <row r="590" spans="1:9" x14ac:dyDescent="0.25">
      <c r="A590" t="s">
        <v>245</v>
      </c>
      <c r="B590" s="168" t="s">
        <v>930</v>
      </c>
      <c r="C590" s="1" t="s">
        <v>863</v>
      </c>
      <c r="E590" s="1" t="s">
        <v>11</v>
      </c>
      <c r="G590" s="1">
        <v>0</v>
      </c>
      <c r="H590" s="1">
        <v>62000</v>
      </c>
      <c r="I590" s="98">
        <f t="shared" si="28"/>
        <v>144000</v>
      </c>
    </row>
    <row r="591" spans="1:9" s="135" customFormat="1" x14ac:dyDescent="0.25">
      <c r="A591" s="135" t="s">
        <v>241</v>
      </c>
      <c r="B591" s="166" t="s">
        <v>932</v>
      </c>
      <c r="C591" s="136">
        <v>1999</v>
      </c>
      <c r="D591" s="136" t="s">
        <v>1866</v>
      </c>
      <c r="E591" s="136" t="s">
        <v>13</v>
      </c>
      <c r="G591" s="136">
        <v>1</v>
      </c>
      <c r="H591" s="137">
        <v>30000</v>
      </c>
      <c r="I591" s="137">
        <f t="shared" si="28"/>
        <v>80000</v>
      </c>
    </row>
    <row r="592" spans="1:9" x14ac:dyDescent="0.25">
      <c r="A592" t="s">
        <v>241</v>
      </c>
      <c r="B592" s="168" t="s">
        <v>933</v>
      </c>
      <c r="C592" s="1" t="s">
        <v>103</v>
      </c>
      <c r="E592" s="1" t="s">
        <v>11</v>
      </c>
      <c r="G592" s="1">
        <v>0</v>
      </c>
      <c r="H592" s="1">
        <v>77000</v>
      </c>
      <c r="I592" s="98">
        <f t="shared" si="28"/>
        <v>174000</v>
      </c>
    </row>
    <row r="593" spans="1:9" x14ac:dyDescent="0.25">
      <c r="A593" t="s">
        <v>241</v>
      </c>
      <c r="B593" s="168" t="s">
        <v>934</v>
      </c>
      <c r="C593" s="1" t="s">
        <v>94</v>
      </c>
      <c r="D593" s="1" t="s">
        <v>224</v>
      </c>
      <c r="E593" s="1" t="s">
        <v>11</v>
      </c>
      <c r="G593" s="1">
        <v>0</v>
      </c>
      <c r="H593" s="98">
        <v>51000</v>
      </c>
      <c r="I593" s="98">
        <f t="shared" si="28"/>
        <v>122000</v>
      </c>
    </row>
    <row r="594" spans="1:9" x14ac:dyDescent="0.25">
      <c r="A594" t="s">
        <v>245</v>
      </c>
      <c r="B594" s="168" t="s">
        <v>935</v>
      </c>
      <c r="C594" s="1" t="s">
        <v>805</v>
      </c>
      <c r="D594" s="1" t="s">
        <v>240</v>
      </c>
      <c r="E594" s="1" t="s">
        <v>11</v>
      </c>
      <c r="F594" s="1" t="s">
        <v>1898</v>
      </c>
      <c r="G594" s="1">
        <v>0</v>
      </c>
      <c r="H594" s="98">
        <v>44000</v>
      </c>
      <c r="I594" s="98">
        <f t="shared" si="28"/>
        <v>108000</v>
      </c>
    </row>
    <row r="595" spans="1:9" x14ac:dyDescent="0.25">
      <c r="A595" t="s">
        <v>245</v>
      </c>
      <c r="B595" s="168" t="s">
        <v>936</v>
      </c>
      <c r="C595" s="1" t="s">
        <v>197</v>
      </c>
      <c r="E595" s="1" t="s">
        <v>11</v>
      </c>
      <c r="G595" s="1">
        <v>0</v>
      </c>
      <c r="H595" s="98">
        <v>52000</v>
      </c>
      <c r="I595" s="98">
        <f t="shared" si="28"/>
        <v>124000</v>
      </c>
    </row>
    <row r="596" spans="1:9" s="135" customFormat="1" x14ac:dyDescent="0.25">
      <c r="A596" s="135" t="s">
        <v>225</v>
      </c>
      <c r="B596" s="166" t="s">
        <v>937</v>
      </c>
      <c r="C596" s="136" t="s">
        <v>248</v>
      </c>
      <c r="D596" s="136" t="s">
        <v>682</v>
      </c>
      <c r="E596" s="136" t="s">
        <v>11</v>
      </c>
      <c r="F596" s="135" t="s">
        <v>938</v>
      </c>
      <c r="G596" s="136">
        <v>2</v>
      </c>
      <c r="H596" s="137">
        <v>37000</v>
      </c>
      <c r="I596" s="137">
        <f t="shared" si="28"/>
        <v>94000</v>
      </c>
    </row>
    <row r="597" spans="1:9" x14ac:dyDescent="0.25">
      <c r="A597" t="s">
        <v>225</v>
      </c>
      <c r="B597" s="168" t="s">
        <v>937</v>
      </c>
      <c r="C597" s="1" t="s">
        <v>563</v>
      </c>
      <c r="E597" s="1" t="s">
        <v>11</v>
      </c>
      <c r="G597" s="1">
        <v>0</v>
      </c>
      <c r="H597" s="1">
        <v>57000</v>
      </c>
      <c r="I597" s="98">
        <f t="shared" si="28"/>
        <v>134000</v>
      </c>
    </row>
    <row r="598" spans="1:9" s="135" customFormat="1" x14ac:dyDescent="0.25">
      <c r="A598" s="135" t="s">
        <v>225</v>
      </c>
      <c r="B598" s="166" t="s">
        <v>939</v>
      </c>
      <c r="C598" s="136" t="s">
        <v>967</v>
      </c>
      <c r="D598" s="136" t="s">
        <v>1952</v>
      </c>
      <c r="E598" s="136" t="s">
        <v>11</v>
      </c>
      <c r="G598" s="136">
        <v>1</v>
      </c>
      <c r="H598" s="137">
        <v>48000</v>
      </c>
      <c r="I598" s="137">
        <f t="shared" si="28"/>
        <v>116000</v>
      </c>
    </row>
    <row r="599" spans="1:9" s="135" customFormat="1" x14ac:dyDescent="0.25">
      <c r="A599" s="135" t="s">
        <v>39</v>
      </c>
      <c r="B599" s="166" t="s">
        <v>940</v>
      </c>
      <c r="C599" s="136" t="s">
        <v>941</v>
      </c>
      <c r="D599" s="136" t="s">
        <v>353</v>
      </c>
      <c r="E599" s="136" t="s">
        <v>13</v>
      </c>
      <c r="F599" s="136" t="s">
        <v>1987</v>
      </c>
      <c r="G599" s="136">
        <v>1</v>
      </c>
      <c r="H599" s="137">
        <v>30000</v>
      </c>
      <c r="I599" s="137">
        <f t="shared" si="28"/>
        <v>80000</v>
      </c>
    </row>
    <row r="600" spans="1:9" x14ac:dyDescent="0.25">
      <c r="A600" t="s">
        <v>942</v>
      </c>
      <c r="B600" s="168" t="s">
        <v>943</v>
      </c>
      <c r="C600" s="1">
        <v>2000</v>
      </c>
      <c r="D600" s="1" t="s">
        <v>1892</v>
      </c>
      <c r="E600" s="1" t="s">
        <v>11</v>
      </c>
      <c r="G600" s="1">
        <v>1</v>
      </c>
      <c r="H600" s="98">
        <v>45000</v>
      </c>
      <c r="I600" s="98">
        <f t="shared" si="28"/>
        <v>110000</v>
      </c>
    </row>
    <row r="601" spans="1:9" s="135" customFormat="1" x14ac:dyDescent="0.25">
      <c r="A601" s="135" t="s">
        <v>195</v>
      </c>
      <c r="B601" s="166" t="s">
        <v>944</v>
      </c>
      <c r="C601" s="136" t="s">
        <v>43</v>
      </c>
      <c r="D601" s="136" t="s">
        <v>1860</v>
      </c>
      <c r="E601" s="136" t="s">
        <v>13</v>
      </c>
      <c r="G601" s="136">
        <v>1</v>
      </c>
      <c r="H601" s="136">
        <v>30000</v>
      </c>
      <c r="I601" s="137">
        <f t="shared" si="28"/>
        <v>80000</v>
      </c>
    </row>
    <row r="602" spans="1:9" x14ac:dyDescent="0.25">
      <c r="A602" t="s">
        <v>195</v>
      </c>
      <c r="B602" s="168" t="s">
        <v>944</v>
      </c>
      <c r="C602" s="1" t="s">
        <v>153</v>
      </c>
      <c r="E602" s="1" t="s">
        <v>11</v>
      </c>
      <c r="G602" s="1">
        <v>0</v>
      </c>
      <c r="H602" s="1">
        <v>54000</v>
      </c>
      <c r="I602" s="1">
        <f t="shared" si="28"/>
        <v>128000</v>
      </c>
    </row>
    <row r="603" spans="1:9" x14ac:dyDescent="0.25">
      <c r="A603" t="s">
        <v>195</v>
      </c>
      <c r="B603" s="168" t="s">
        <v>945</v>
      </c>
      <c r="C603" s="1" t="s">
        <v>652</v>
      </c>
      <c r="E603" s="1" t="s">
        <v>11</v>
      </c>
      <c r="G603" s="1">
        <v>0</v>
      </c>
      <c r="H603" s="1">
        <v>44000</v>
      </c>
      <c r="I603" s="98">
        <f t="shared" si="28"/>
        <v>108000</v>
      </c>
    </row>
    <row r="604" spans="1:9" s="135" customFormat="1" x14ac:dyDescent="0.25">
      <c r="A604" s="135" t="s">
        <v>60</v>
      </c>
      <c r="B604" s="166" t="s">
        <v>946</v>
      </c>
      <c r="C604" s="136" t="s">
        <v>1574</v>
      </c>
      <c r="D604" s="136" t="s">
        <v>1047</v>
      </c>
      <c r="E604" s="136" t="s">
        <v>11</v>
      </c>
      <c r="G604" s="136">
        <v>1</v>
      </c>
      <c r="H604" s="136">
        <v>53000</v>
      </c>
      <c r="I604" s="136">
        <f t="shared" si="28"/>
        <v>126000</v>
      </c>
    </row>
    <row r="605" spans="1:9" x14ac:dyDescent="0.25">
      <c r="G605" s="1">
        <v>0</v>
      </c>
      <c r="H605" s="98"/>
      <c r="I605" s="98"/>
    </row>
    <row r="606" spans="1:9" x14ac:dyDescent="0.25">
      <c r="A606" t="s">
        <v>164</v>
      </c>
      <c r="B606" s="168" t="s">
        <v>948</v>
      </c>
      <c r="C606" s="1" t="s">
        <v>606</v>
      </c>
      <c r="D606" s="1">
        <v>123</v>
      </c>
      <c r="E606" s="1" t="s">
        <v>11</v>
      </c>
      <c r="G606" s="1">
        <v>0</v>
      </c>
      <c r="H606" s="1">
        <v>60000</v>
      </c>
      <c r="I606" s="98">
        <f>H606*2+20000</f>
        <v>140000</v>
      </c>
    </row>
    <row r="607" spans="1:9" s="135" customFormat="1" x14ac:dyDescent="0.25">
      <c r="A607" s="135" t="s">
        <v>159</v>
      </c>
      <c r="B607" s="166" t="s">
        <v>950</v>
      </c>
      <c r="C607" s="136" t="s">
        <v>119</v>
      </c>
      <c r="D607" s="136" t="s">
        <v>1958</v>
      </c>
      <c r="E607" s="136" t="s">
        <v>11</v>
      </c>
      <c r="G607" s="136">
        <v>1</v>
      </c>
      <c r="H607" s="137">
        <v>70000</v>
      </c>
      <c r="I607" s="137">
        <f>H607*2+20000</f>
        <v>160000</v>
      </c>
    </row>
    <row r="608" spans="1:9" x14ac:dyDescent="0.25">
      <c r="A608" t="s">
        <v>159</v>
      </c>
      <c r="B608" s="168" t="s">
        <v>951</v>
      </c>
      <c r="C608" s="1" t="s">
        <v>119</v>
      </c>
      <c r="E608" s="1" t="s">
        <v>11</v>
      </c>
      <c r="G608" s="1">
        <v>0</v>
      </c>
      <c r="H608" s="98">
        <v>79000</v>
      </c>
      <c r="I608" s="98">
        <f>H608*2+20000</f>
        <v>178000</v>
      </c>
    </row>
    <row r="609" spans="1:9" x14ac:dyDescent="0.25">
      <c r="A609" t="s">
        <v>952</v>
      </c>
      <c r="B609" s="168" t="s">
        <v>953</v>
      </c>
      <c r="C609" s="1" t="s">
        <v>29</v>
      </c>
      <c r="E609" s="1" t="s">
        <v>11</v>
      </c>
      <c r="G609" s="1">
        <v>0</v>
      </c>
      <c r="H609" s="98">
        <v>46000</v>
      </c>
      <c r="I609" s="98">
        <v>80000</v>
      </c>
    </row>
    <row r="610" spans="1:9" x14ac:dyDescent="0.25">
      <c r="A610" t="s">
        <v>195</v>
      </c>
      <c r="B610" s="168" t="s">
        <v>954</v>
      </c>
      <c r="C610" s="1" t="s">
        <v>498</v>
      </c>
      <c r="E610" s="1" t="s">
        <v>11</v>
      </c>
      <c r="G610" s="1">
        <v>0</v>
      </c>
      <c r="H610" s="98">
        <v>44000</v>
      </c>
      <c r="I610" s="98">
        <f t="shared" ref="I610:I641" si="29">H610*2+20000</f>
        <v>108000</v>
      </c>
    </row>
    <row r="611" spans="1:9" x14ac:dyDescent="0.25">
      <c r="A611" t="s">
        <v>195</v>
      </c>
      <c r="B611" s="168" t="s">
        <v>954</v>
      </c>
      <c r="C611" s="1" t="s">
        <v>169</v>
      </c>
      <c r="E611" s="1" t="s">
        <v>955</v>
      </c>
      <c r="G611" s="1">
        <v>0</v>
      </c>
      <c r="H611" s="1">
        <v>77000</v>
      </c>
      <c r="I611" s="98">
        <f t="shared" si="29"/>
        <v>174000</v>
      </c>
    </row>
    <row r="612" spans="1:9" x14ac:dyDescent="0.25">
      <c r="A612" t="s">
        <v>195</v>
      </c>
      <c r="B612" s="168" t="s">
        <v>954</v>
      </c>
      <c r="C612" s="1" t="s">
        <v>956</v>
      </c>
      <c r="E612" s="1" t="s">
        <v>11</v>
      </c>
      <c r="G612" s="1">
        <v>0</v>
      </c>
      <c r="H612" s="1">
        <v>53000</v>
      </c>
      <c r="I612" s="98">
        <f t="shared" si="29"/>
        <v>126000</v>
      </c>
    </row>
    <row r="613" spans="1:9" s="135" customFormat="1" x14ac:dyDescent="0.25">
      <c r="A613" s="135" t="s">
        <v>957</v>
      </c>
      <c r="B613" s="166" t="s">
        <v>954</v>
      </c>
      <c r="C613" s="136" t="s">
        <v>958</v>
      </c>
      <c r="D613" s="136" t="s">
        <v>442</v>
      </c>
      <c r="E613" s="136" t="s">
        <v>13</v>
      </c>
      <c r="F613" s="136" t="s">
        <v>412</v>
      </c>
      <c r="G613" s="136">
        <v>1</v>
      </c>
      <c r="H613" s="136">
        <v>52000</v>
      </c>
      <c r="I613" s="137">
        <f t="shared" si="29"/>
        <v>124000</v>
      </c>
    </row>
    <row r="614" spans="1:9" s="135" customFormat="1" x14ac:dyDescent="0.25">
      <c r="A614" s="135" t="s">
        <v>195</v>
      </c>
      <c r="B614" s="166" t="s">
        <v>959</v>
      </c>
      <c r="C614" s="136">
        <v>2002</v>
      </c>
      <c r="D614" s="136" t="s">
        <v>2060</v>
      </c>
      <c r="E614" s="136" t="s">
        <v>13</v>
      </c>
      <c r="G614" s="136">
        <v>1</v>
      </c>
      <c r="H614" s="137">
        <v>30000</v>
      </c>
      <c r="I614" s="137">
        <f t="shared" si="29"/>
        <v>80000</v>
      </c>
    </row>
    <row r="615" spans="1:9" s="135" customFormat="1" x14ac:dyDescent="0.25">
      <c r="A615" s="135" t="s">
        <v>195</v>
      </c>
      <c r="B615" s="166" t="s">
        <v>959</v>
      </c>
      <c r="C615" s="136" t="s">
        <v>960</v>
      </c>
      <c r="D615" s="136" t="s">
        <v>80</v>
      </c>
      <c r="E615" s="136" t="s">
        <v>13</v>
      </c>
      <c r="F615" s="136" t="s">
        <v>961</v>
      </c>
      <c r="G615" s="136">
        <v>1</v>
      </c>
      <c r="H615" s="137">
        <v>30000</v>
      </c>
      <c r="I615" s="137">
        <f t="shared" si="29"/>
        <v>80000</v>
      </c>
    </row>
    <row r="616" spans="1:9" s="135" customFormat="1" x14ac:dyDescent="0.25">
      <c r="A616" s="135" t="s">
        <v>962</v>
      </c>
      <c r="B616" s="166" t="s">
        <v>963</v>
      </c>
      <c r="C616" s="136" t="s">
        <v>964</v>
      </c>
      <c r="D616" s="136" t="s">
        <v>369</v>
      </c>
      <c r="E616" s="136" t="s">
        <v>11</v>
      </c>
      <c r="G616" s="136">
        <v>1</v>
      </c>
      <c r="H616" s="137">
        <v>39000</v>
      </c>
      <c r="I616" s="137">
        <f t="shared" si="29"/>
        <v>98000</v>
      </c>
    </row>
    <row r="617" spans="1:9" s="135" customFormat="1" x14ac:dyDescent="0.25">
      <c r="A617" s="135" t="s">
        <v>241</v>
      </c>
      <c r="B617" s="166" t="s">
        <v>965</v>
      </c>
      <c r="C617" s="136"/>
      <c r="D617" s="136" t="s">
        <v>1866</v>
      </c>
      <c r="E617" s="136" t="s">
        <v>13</v>
      </c>
      <c r="G617" s="136">
        <v>1</v>
      </c>
      <c r="H617" s="137">
        <v>25000</v>
      </c>
      <c r="I617" s="137">
        <f t="shared" si="29"/>
        <v>70000</v>
      </c>
    </row>
    <row r="618" spans="1:9" x14ac:dyDescent="0.25">
      <c r="A618" t="s">
        <v>241</v>
      </c>
      <c r="B618" s="168" t="s">
        <v>966</v>
      </c>
      <c r="C618" s="1" t="s">
        <v>466</v>
      </c>
      <c r="D618" s="1" t="s">
        <v>190</v>
      </c>
      <c r="E618" s="1" t="s">
        <v>11</v>
      </c>
      <c r="G618" s="1">
        <v>0</v>
      </c>
      <c r="H618" s="1">
        <v>28000</v>
      </c>
      <c r="I618" s="98">
        <f t="shared" si="29"/>
        <v>76000</v>
      </c>
    </row>
    <row r="619" spans="1:9" s="135" customFormat="1" x14ac:dyDescent="0.25">
      <c r="A619" s="135" t="s">
        <v>30</v>
      </c>
      <c r="B619" s="166" t="s">
        <v>834</v>
      </c>
      <c r="C619" s="136" t="s">
        <v>835</v>
      </c>
      <c r="D619" s="136" t="s">
        <v>1856</v>
      </c>
      <c r="E619" s="136" t="s">
        <v>11</v>
      </c>
      <c r="F619" s="135" t="s">
        <v>537</v>
      </c>
      <c r="G619" s="136">
        <v>1</v>
      </c>
      <c r="H619" s="137">
        <v>44000</v>
      </c>
      <c r="I619" s="137">
        <f t="shared" si="29"/>
        <v>108000</v>
      </c>
    </row>
    <row r="620" spans="1:9" x14ac:dyDescent="0.25">
      <c r="A620" t="s">
        <v>30</v>
      </c>
      <c r="B620" s="168" t="s">
        <v>833</v>
      </c>
      <c r="C620" s="1" t="s">
        <v>162</v>
      </c>
      <c r="E620" s="1" t="s">
        <v>11</v>
      </c>
      <c r="F620" s="1"/>
      <c r="G620" s="1">
        <v>0</v>
      </c>
      <c r="H620" s="98">
        <v>45000</v>
      </c>
      <c r="I620" s="98">
        <f t="shared" si="29"/>
        <v>110000</v>
      </c>
    </row>
    <row r="621" spans="1:9" x14ac:dyDescent="0.25">
      <c r="A621" t="s">
        <v>405</v>
      </c>
      <c r="B621" s="168" t="s">
        <v>970</v>
      </c>
      <c r="C621" s="1" t="s">
        <v>243</v>
      </c>
      <c r="E621" s="1" t="s">
        <v>11</v>
      </c>
      <c r="G621" s="1">
        <v>0</v>
      </c>
      <c r="H621" s="1">
        <v>56000</v>
      </c>
      <c r="I621" s="1">
        <f t="shared" si="29"/>
        <v>132000</v>
      </c>
    </row>
    <row r="622" spans="1:9" s="135" customFormat="1" x14ac:dyDescent="0.25">
      <c r="A622" s="135" t="s">
        <v>60</v>
      </c>
      <c r="B622" s="166" t="s">
        <v>971</v>
      </c>
      <c r="C622" s="136" t="s">
        <v>972</v>
      </c>
      <c r="D622" s="136" t="s">
        <v>1591</v>
      </c>
      <c r="E622" s="136" t="s">
        <v>11</v>
      </c>
      <c r="G622" s="136">
        <v>2</v>
      </c>
      <c r="H622" s="137">
        <v>46000</v>
      </c>
      <c r="I622" s="137">
        <f t="shared" si="29"/>
        <v>112000</v>
      </c>
    </row>
    <row r="623" spans="1:9" s="129" customFormat="1" x14ac:dyDescent="0.25">
      <c r="A623" s="129" t="s">
        <v>60</v>
      </c>
      <c r="B623" s="171" t="s">
        <v>973</v>
      </c>
      <c r="C623" s="130">
        <v>2010</v>
      </c>
      <c r="D623" s="130" t="s">
        <v>1635</v>
      </c>
      <c r="E623" s="130" t="s">
        <v>11</v>
      </c>
      <c r="F623" s="130" t="s">
        <v>1616</v>
      </c>
      <c r="G623" s="130">
        <v>1</v>
      </c>
      <c r="H623" s="131">
        <v>35000</v>
      </c>
      <c r="I623" s="131">
        <f t="shared" si="29"/>
        <v>90000</v>
      </c>
    </row>
    <row r="624" spans="1:9" x14ac:dyDescent="0.25">
      <c r="A624" t="s">
        <v>245</v>
      </c>
      <c r="B624" s="168" t="s">
        <v>974</v>
      </c>
      <c r="D624" s="1" t="s">
        <v>227</v>
      </c>
      <c r="E624" s="1" t="s">
        <v>11</v>
      </c>
      <c r="G624" s="1">
        <v>0</v>
      </c>
      <c r="H624" s="1">
        <v>47059</v>
      </c>
      <c r="I624" s="1">
        <f t="shared" si="29"/>
        <v>114118</v>
      </c>
    </row>
    <row r="625" spans="1:9" x14ac:dyDescent="0.25">
      <c r="A625" t="s">
        <v>39</v>
      </c>
      <c r="B625" s="168" t="s">
        <v>975</v>
      </c>
      <c r="C625" s="1" t="s">
        <v>807</v>
      </c>
      <c r="D625" s="1" t="s">
        <v>1951</v>
      </c>
      <c r="E625" s="1" t="s">
        <v>11</v>
      </c>
      <c r="G625" s="1">
        <v>0</v>
      </c>
      <c r="H625" s="98">
        <v>40000</v>
      </c>
      <c r="I625" s="98">
        <f t="shared" si="29"/>
        <v>100000</v>
      </c>
    </row>
    <row r="626" spans="1:9" x14ac:dyDescent="0.25">
      <c r="A626" t="s">
        <v>976</v>
      </c>
      <c r="B626" s="168" t="s">
        <v>977</v>
      </c>
      <c r="C626" s="1" t="s">
        <v>86</v>
      </c>
      <c r="D626" s="1" t="s">
        <v>978</v>
      </c>
      <c r="E626" s="1" t="s">
        <v>11</v>
      </c>
      <c r="G626" s="1">
        <v>0</v>
      </c>
      <c r="H626" s="1">
        <v>81000</v>
      </c>
      <c r="I626" s="98">
        <f t="shared" si="29"/>
        <v>182000</v>
      </c>
    </row>
    <row r="627" spans="1:9" x14ac:dyDescent="0.25">
      <c r="A627" t="s">
        <v>132</v>
      </c>
      <c r="B627" s="168" t="s">
        <v>979</v>
      </c>
      <c r="C627" s="1" t="s">
        <v>618</v>
      </c>
      <c r="E627" s="1" t="s">
        <v>11</v>
      </c>
      <c r="G627" s="1">
        <v>0</v>
      </c>
      <c r="H627" s="1">
        <v>81000</v>
      </c>
      <c r="I627" s="1">
        <f t="shared" si="29"/>
        <v>182000</v>
      </c>
    </row>
    <row r="628" spans="1:9" x14ac:dyDescent="0.25">
      <c r="A628" t="s">
        <v>60</v>
      </c>
      <c r="B628" s="175" t="s">
        <v>980</v>
      </c>
      <c r="C628" s="1" t="s">
        <v>390</v>
      </c>
      <c r="D628" s="1" t="s">
        <v>838</v>
      </c>
      <c r="E628" s="1" t="s">
        <v>11</v>
      </c>
      <c r="F628" s="1" t="s">
        <v>1601</v>
      </c>
      <c r="G628" s="1">
        <v>0</v>
      </c>
      <c r="H628" s="1">
        <v>62000</v>
      </c>
      <c r="I628" s="1">
        <f t="shared" si="29"/>
        <v>144000</v>
      </c>
    </row>
    <row r="629" spans="1:9" s="135" customFormat="1" x14ac:dyDescent="0.25">
      <c r="A629" s="135" t="s">
        <v>981</v>
      </c>
      <c r="B629" s="166" t="s">
        <v>980</v>
      </c>
      <c r="C629" s="136" t="s">
        <v>344</v>
      </c>
      <c r="D629" s="136" t="s">
        <v>539</v>
      </c>
      <c r="E629" s="136" t="s">
        <v>11</v>
      </c>
      <c r="F629" s="135" t="s">
        <v>1602</v>
      </c>
      <c r="G629" s="136">
        <v>1</v>
      </c>
      <c r="H629" s="136">
        <v>57000</v>
      </c>
      <c r="I629" s="137">
        <f t="shared" si="29"/>
        <v>134000</v>
      </c>
    </row>
    <row r="630" spans="1:9" x14ac:dyDescent="0.25">
      <c r="A630" t="s">
        <v>211</v>
      </c>
      <c r="B630" s="168" t="s">
        <v>982</v>
      </c>
      <c r="C630" s="1" t="s">
        <v>103</v>
      </c>
      <c r="E630" s="1" t="s">
        <v>11</v>
      </c>
      <c r="G630" s="1">
        <v>0</v>
      </c>
      <c r="H630" s="1">
        <v>55000</v>
      </c>
      <c r="I630" s="98">
        <f t="shared" si="29"/>
        <v>130000</v>
      </c>
    </row>
    <row r="631" spans="1:9" x14ac:dyDescent="0.25">
      <c r="A631" t="s">
        <v>473</v>
      </c>
      <c r="B631" s="168" t="s">
        <v>983</v>
      </c>
      <c r="C631" s="1" t="s">
        <v>958</v>
      </c>
      <c r="G631" s="1">
        <v>0</v>
      </c>
      <c r="H631" s="1">
        <v>70000</v>
      </c>
      <c r="I631" s="98">
        <f t="shared" si="29"/>
        <v>160000</v>
      </c>
    </row>
    <row r="632" spans="1:9" s="135" customFormat="1" x14ac:dyDescent="0.25">
      <c r="A632" s="135" t="s">
        <v>483</v>
      </c>
      <c r="B632" s="166" t="s">
        <v>984</v>
      </c>
      <c r="C632" s="136" t="s">
        <v>1862</v>
      </c>
      <c r="D632" s="136" t="s">
        <v>1868</v>
      </c>
      <c r="E632" s="136" t="s">
        <v>13</v>
      </c>
      <c r="G632" s="136">
        <v>1</v>
      </c>
      <c r="H632" s="137">
        <v>30000</v>
      </c>
      <c r="I632" s="137">
        <f t="shared" si="29"/>
        <v>80000</v>
      </c>
    </row>
    <row r="633" spans="1:9" x14ac:dyDescent="0.25">
      <c r="A633" t="s">
        <v>483</v>
      </c>
      <c r="B633" s="168" t="s">
        <v>985</v>
      </c>
      <c r="C633" s="1" t="s">
        <v>986</v>
      </c>
      <c r="D633" s="1" t="s">
        <v>70</v>
      </c>
      <c r="E633" s="1" t="s">
        <v>11</v>
      </c>
      <c r="G633" s="1">
        <v>0</v>
      </c>
      <c r="H633" s="98">
        <v>35000</v>
      </c>
      <c r="I633" s="98">
        <f t="shared" si="29"/>
        <v>90000</v>
      </c>
    </row>
    <row r="634" spans="1:9" x14ac:dyDescent="0.25">
      <c r="A634" t="s">
        <v>334</v>
      </c>
      <c r="B634" s="168" t="s">
        <v>987</v>
      </c>
      <c r="C634" s="1" t="s">
        <v>266</v>
      </c>
      <c r="D634" s="1" t="s">
        <v>407</v>
      </c>
      <c r="E634" s="1" t="s">
        <v>11</v>
      </c>
      <c r="F634" s="1"/>
      <c r="G634" s="1">
        <v>1</v>
      </c>
      <c r="H634" s="1">
        <v>54000</v>
      </c>
      <c r="I634" s="98">
        <f t="shared" si="29"/>
        <v>128000</v>
      </c>
    </row>
    <row r="635" spans="1:9" x14ac:dyDescent="0.25">
      <c r="A635" t="s">
        <v>334</v>
      </c>
      <c r="B635" s="168" t="s">
        <v>988</v>
      </c>
      <c r="D635" s="1" t="s">
        <v>989</v>
      </c>
      <c r="E635" s="1" t="s">
        <v>13</v>
      </c>
      <c r="G635" s="1">
        <v>0</v>
      </c>
      <c r="H635" s="98">
        <v>25000</v>
      </c>
      <c r="I635" s="98">
        <f t="shared" si="29"/>
        <v>70000</v>
      </c>
    </row>
    <row r="636" spans="1:9" x14ac:dyDescent="0.25">
      <c r="A636" t="s">
        <v>334</v>
      </c>
      <c r="B636" s="168" t="s">
        <v>990</v>
      </c>
      <c r="E636" s="1" t="s">
        <v>13</v>
      </c>
      <c r="G636" s="1">
        <v>0</v>
      </c>
      <c r="H636" s="98">
        <v>25000</v>
      </c>
      <c r="I636" s="98">
        <f t="shared" si="29"/>
        <v>70000</v>
      </c>
    </row>
    <row r="637" spans="1:9" s="135" customFormat="1" x14ac:dyDescent="0.25">
      <c r="A637" s="135" t="s">
        <v>994</v>
      </c>
      <c r="B637" s="166" t="s">
        <v>995</v>
      </c>
      <c r="C637" s="136" t="s">
        <v>1904</v>
      </c>
      <c r="D637" s="136" t="s">
        <v>559</v>
      </c>
      <c r="E637" s="136" t="s">
        <v>11</v>
      </c>
      <c r="G637" s="136">
        <v>0</v>
      </c>
      <c r="H637" s="137">
        <v>49000</v>
      </c>
      <c r="I637" s="137">
        <f t="shared" si="29"/>
        <v>118000</v>
      </c>
    </row>
    <row r="638" spans="1:9" s="135" customFormat="1" x14ac:dyDescent="0.25">
      <c r="A638" s="135" t="s">
        <v>994</v>
      </c>
      <c r="B638" s="166" t="s">
        <v>995</v>
      </c>
      <c r="C638" s="136" t="s">
        <v>86</v>
      </c>
      <c r="D638" s="136" t="s">
        <v>1945</v>
      </c>
      <c r="E638" s="136" t="s">
        <v>13</v>
      </c>
      <c r="F638" s="136" t="s">
        <v>198</v>
      </c>
      <c r="G638" s="136">
        <v>0</v>
      </c>
      <c r="H638" s="136">
        <v>30000</v>
      </c>
      <c r="I638" s="137">
        <f t="shared" si="29"/>
        <v>80000</v>
      </c>
    </row>
    <row r="639" spans="1:9" x14ac:dyDescent="0.25">
      <c r="A639" t="s">
        <v>183</v>
      </c>
      <c r="B639" s="168" t="s">
        <v>991</v>
      </c>
      <c r="C639" s="1" t="s">
        <v>1560</v>
      </c>
      <c r="D639" s="1" t="s">
        <v>992</v>
      </c>
      <c r="E639" s="1" t="s">
        <v>11</v>
      </c>
      <c r="F639" t="s">
        <v>2009</v>
      </c>
      <c r="G639" s="1">
        <v>1</v>
      </c>
      <c r="H639" s="98">
        <v>35000</v>
      </c>
      <c r="I639" s="98">
        <f t="shared" si="29"/>
        <v>90000</v>
      </c>
    </row>
    <row r="640" spans="1:9" x14ac:dyDescent="0.25">
      <c r="A640" t="s">
        <v>18</v>
      </c>
      <c r="B640" s="168" t="s">
        <v>730</v>
      </c>
      <c r="C640" s="1">
        <v>1995</v>
      </c>
      <c r="E640" s="1" t="s">
        <v>11</v>
      </c>
      <c r="G640" s="1">
        <v>0</v>
      </c>
      <c r="H640" s="98">
        <v>55000</v>
      </c>
      <c r="I640" s="98">
        <f t="shared" si="29"/>
        <v>130000</v>
      </c>
    </row>
    <row r="641" spans="1:12" x14ac:dyDescent="0.25">
      <c r="A641" t="s">
        <v>727</v>
      </c>
      <c r="B641" s="168" t="s">
        <v>728</v>
      </c>
      <c r="C641" s="1" t="s">
        <v>729</v>
      </c>
      <c r="D641" s="1" t="s">
        <v>1892</v>
      </c>
      <c r="E641" s="1" t="s">
        <v>11</v>
      </c>
      <c r="G641" s="1">
        <v>1</v>
      </c>
      <c r="H641" s="1">
        <v>47000</v>
      </c>
      <c r="I641" s="98">
        <f t="shared" si="29"/>
        <v>114000</v>
      </c>
    </row>
    <row r="642" spans="1:12" x14ac:dyDescent="0.25">
      <c r="A642" t="s">
        <v>238</v>
      </c>
      <c r="B642" s="168" t="s">
        <v>1001</v>
      </c>
      <c r="C642" s="1" t="s">
        <v>1002</v>
      </c>
      <c r="E642" s="1" t="s">
        <v>11</v>
      </c>
      <c r="G642" s="1">
        <v>0</v>
      </c>
      <c r="H642" s="1">
        <v>54000</v>
      </c>
      <c r="I642" s="1">
        <f t="shared" ref="I642:I673" si="30">H642*2+20000</f>
        <v>128000</v>
      </c>
    </row>
    <row r="643" spans="1:12" x14ac:dyDescent="0.25">
      <c r="A643" t="s">
        <v>238</v>
      </c>
      <c r="B643" s="168" t="s">
        <v>1001</v>
      </c>
      <c r="C643" s="1" t="s">
        <v>338</v>
      </c>
      <c r="D643" s="1" t="s">
        <v>567</v>
      </c>
      <c r="E643" s="1" t="s">
        <v>11</v>
      </c>
      <c r="F643" s="1" t="s">
        <v>537</v>
      </c>
      <c r="G643" s="1">
        <v>1</v>
      </c>
      <c r="H643" s="1">
        <v>46000</v>
      </c>
      <c r="I643" s="1">
        <f t="shared" si="30"/>
        <v>112000</v>
      </c>
    </row>
    <row r="644" spans="1:12" s="135" customFormat="1" x14ac:dyDescent="0.25">
      <c r="A644" s="135" t="s">
        <v>238</v>
      </c>
      <c r="B644" s="166" t="s">
        <v>1001</v>
      </c>
      <c r="C644" s="136" t="s">
        <v>1003</v>
      </c>
      <c r="D644" s="136" t="s">
        <v>2001</v>
      </c>
      <c r="E644" s="136" t="s">
        <v>13</v>
      </c>
      <c r="F644" s="135" t="s">
        <v>1902</v>
      </c>
      <c r="G644" s="136">
        <v>1</v>
      </c>
      <c r="H644" s="137">
        <v>30000</v>
      </c>
      <c r="I644" s="137">
        <f t="shared" si="30"/>
        <v>80000</v>
      </c>
    </row>
    <row r="645" spans="1:12" s="135" customFormat="1" x14ac:dyDescent="0.25">
      <c r="A645" s="135" t="s">
        <v>238</v>
      </c>
      <c r="B645" s="166" t="s">
        <v>1001</v>
      </c>
      <c r="C645" s="136" t="s">
        <v>338</v>
      </c>
      <c r="D645" s="136" t="s">
        <v>1903</v>
      </c>
      <c r="E645" s="136" t="s">
        <v>13</v>
      </c>
      <c r="F645" s="136" t="s">
        <v>2049</v>
      </c>
      <c r="G645" s="136">
        <v>5</v>
      </c>
      <c r="H645" s="137">
        <v>30000</v>
      </c>
      <c r="I645" s="137">
        <f t="shared" si="30"/>
        <v>80000</v>
      </c>
    </row>
    <row r="646" spans="1:12" x14ac:dyDescent="0.25">
      <c r="A646" t="s">
        <v>238</v>
      </c>
      <c r="B646" s="168" t="s">
        <v>1001</v>
      </c>
      <c r="D646" s="1" t="s">
        <v>1005</v>
      </c>
      <c r="E646" s="1" t="s">
        <v>13</v>
      </c>
      <c r="G646" s="1">
        <v>0</v>
      </c>
      <c r="H646" s="98">
        <v>30000</v>
      </c>
      <c r="I646" s="98">
        <f t="shared" si="30"/>
        <v>80000</v>
      </c>
    </row>
    <row r="647" spans="1:12" s="135" customFormat="1" x14ac:dyDescent="0.25">
      <c r="A647" s="135" t="s">
        <v>1006</v>
      </c>
      <c r="B647" s="166" t="s">
        <v>1001</v>
      </c>
      <c r="C647" s="136" t="s">
        <v>328</v>
      </c>
      <c r="D647" s="136" t="s">
        <v>80</v>
      </c>
      <c r="E647" s="136" t="s">
        <v>13</v>
      </c>
      <c r="G647" s="136">
        <v>1</v>
      </c>
      <c r="H647" s="156">
        <v>86000</v>
      </c>
      <c r="I647" s="137">
        <f t="shared" si="30"/>
        <v>192000</v>
      </c>
    </row>
    <row r="648" spans="1:12" x14ac:dyDescent="0.25">
      <c r="A648" t="s">
        <v>238</v>
      </c>
      <c r="B648" s="168" t="s">
        <v>1007</v>
      </c>
      <c r="C648" s="1" t="s">
        <v>328</v>
      </c>
      <c r="D648" s="122"/>
      <c r="E648" s="1" t="s">
        <v>11</v>
      </c>
      <c r="G648" s="1">
        <v>0</v>
      </c>
      <c r="H648" s="1">
        <v>54000</v>
      </c>
      <c r="I648" s="1">
        <f t="shared" si="30"/>
        <v>128000</v>
      </c>
      <c r="K648" s="100"/>
      <c r="L648" s="100"/>
    </row>
    <row r="649" spans="1:12" x14ac:dyDescent="0.25">
      <c r="A649" t="s">
        <v>55</v>
      </c>
      <c r="B649" s="168" t="s">
        <v>1008</v>
      </c>
      <c r="C649" s="1" t="s">
        <v>377</v>
      </c>
      <c r="E649" s="1" t="s">
        <v>11</v>
      </c>
      <c r="F649" t="s">
        <v>1009</v>
      </c>
      <c r="G649" s="1">
        <v>0</v>
      </c>
      <c r="H649" s="98">
        <v>68000</v>
      </c>
      <c r="I649" s="98">
        <f t="shared" si="30"/>
        <v>156000</v>
      </c>
    </row>
    <row r="650" spans="1:12" s="129" customFormat="1" x14ac:dyDescent="0.25">
      <c r="A650" s="129" t="s">
        <v>1010</v>
      </c>
      <c r="B650" s="171" t="s">
        <v>1011</v>
      </c>
      <c r="C650" s="130" t="s">
        <v>863</v>
      </c>
      <c r="D650" s="130" t="s">
        <v>1964</v>
      </c>
      <c r="E650" s="130" t="s">
        <v>11</v>
      </c>
      <c r="F650" s="130"/>
      <c r="G650" s="130">
        <v>2</v>
      </c>
      <c r="H650" s="130">
        <v>66000</v>
      </c>
      <c r="I650" s="131">
        <f t="shared" si="30"/>
        <v>152000</v>
      </c>
    </row>
    <row r="651" spans="1:12" x14ac:dyDescent="0.25">
      <c r="A651" t="s">
        <v>422</v>
      </c>
      <c r="B651" s="169" t="s">
        <v>1012</v>
      </c>
      <c r="C651" s="1" t="s">
        <v>377</v>
      </c>
      <c r="E651" s="1" t="s">
        <v>11</v>
      </c>
      <c r="G651" s="1">
        <v>0</v>
      </c>
      <c r="H651" s="98">
        <v>55000</v>
      </c>
      <c r="I651" s="98">
        <f t="shared" si="30"/>
        <v>130000</v>
      </c>
    </row>
    <row r="652" spans="1:12" s="135" customFormat="1" x14ac:dyDescent="0.25">
      <c r="A652" s="135" t="s">
        <v>174</v>
      </c>
      <c r="B652" s="166" t="s">
        <v>1013</v>
      </c>
      <c r="C652" s="136" t="s">
        <v>1014</v>
      </c>
      <c r="D652" s="136" t="s">
        <v>2025</v>
      </c>
      <c r="E652" s="136" t="s">
        <v>11</v>
      </c>
      <c r="F652" s="136" t="s">
        <v>1015</v>
      </c>
      <c r="G652" s="136">
        <v>2</v>
      </c>
      <c r="H652" s="136">
        <v>57000</v>
      </c>
      <c r="I652" s="137">
        <f t="shared" si="30"/>
        <v>134000</v>
      </c>
    </row>
    <row r="653" spans="1:12" x14ac:dyDescent="0.25">
      <c r="A653" t="s">
        <v>1016</v>
      </c>
      <c r="B653" s="168" t="s">
        <v>1013</v>
      </c>
      <c r="C653" s="1" t="s">
        <v>1569</v>
      </c>
      <c r="E653" s="1" t="s">
        <v>11</v>
      </c>
      <c r="F653" s="1" t="s">
        <v>1015</v>
      </c>
      <c r="H653" s="1">
        <v>47000</v>
      </c>
      <c r="I653" s="1">
        <f t="shared" si="30"/>
        <v>114000</v>
      </c>
    </row>
    <row r="654" spans="1:12" x14ac:dyDescent="0.25">
      <c r="A654" t="s">
        <v>1016</v>
      </c>
      <c r="B654" s="168" t="s">
        <v>1013</v>
      </c>
      <c r="C654" s="1" t="s">
        <v>116</v>
      </c>
      <c r="E654" s="1" t="s">
        <v>11</v>
      </c>
      <c r="F654" s="1" t="s">
        <v>1015</v>
      </c>
      <c r="G654" s="1">
        <v>0</v>
      </c>
      <c r="H654" s="1">
        <v>53000</v>
      </c>
      <c r="I654" s="1">
        <f t="shared" si="30"/>
        <v>126000</v>
      </c>
    </row>
    <row r="655" spans="1:12" x14ac:dyDescent="0.25">
      <c r="A655" t="s">
        <v>241</v>
      </c>
      <c r="B655" s="168" t="s">
        <v>1017</v>
      </c>
      <c r="C655" s="1" t="s">
        <v>1020</v>
      </c>
      <c r="D655" s="1" t="s">
        <v>1623</v>
      </c>
      <c r="E655" s="1" t="s">
        <v>11</v>
      </c>
      <c r="G655" s="1">
        <v>0</v>
      </c>
      <c r="H655" s="1">
        <v>44000</v>
      </c>
      <c r="I655" s="98">
        <f t="shared" si="30"/>
        <v>108000</v>
      </c>
    </row>
    <row r="656" spans="1:12" s="135" customFormat="1" x14ac:dyDescent="0.25">
      <c r="A656" s="135" t="s">
        <v>241</v>
      </c>
      <c r="B656" s="166" t="s">
        <v>1580</v>
      </c>
      <c r="C656" s="136" t="s">
        <v>54</v>
      </c>
      <c r="D656" s="136" t="s">
        <v>407</v>
      </c>
      <c r="E656" s="136" t="s">
        <v>11</v>
      </c>
      <c r="F656" s="135" t="s">
        <v>760</v>
      </c>
      <c r="G656" s="136">
        <v>1</v>
      </c>
      <c r="H656" s="137">
        <v>60000</v>
      </c>
      <c r="I656" s="137">
        <f t="shared" si="30"/>
        <v>140000</v>
      </c>
    </row>
    <row r="657" spans="1:9" x14ac:dyDescent="0.25">
      <c r="A657" t="s">
        <v>241</v>
      </c>
      <c r="B657" s="168" t="s">
        <v>1021</v>
      </c>
      <c r="C657" s="1" t="s">
        <v>1004</v>
      </c>
      <c r="D657" s="1" t="s">
        <v>1966</v>
      </c>
      <c r="E657" s="1" t="s">
        <v>11</v>
      </c>
      <c r="F657" t="s">
        <v>780</v>
      </c>
      <c r="G657" s="1">
        <v>0</v>
      </c>
      <c r="H657" s="98">
        <v>38000</v>
      </c>
      <c r="I657" s="98">
        <f t="shared" si="30"/>
        <v>96000</v>
      </c>
    </row>
    <row r="658" spans="1:9" x14ac:dyDescent="0.25">
      <c r="A658" t="s">
        <v>241</v>
      </c>
      <c r="B658" s="168" t="s">
        <v>1022</v>
      </c>
      <c r="C658" s="1" t="s">
        <v>1023</v>
      </c>
      <c r="D658" s="1" t="s">
        <v>573</v>
      </c>
      <c r="E658" s="1" t="s">
        <v>11</v>
      </c>
      <c r="G658" s="1">
        <v>11</v>
      </c>
      <c r="H658" s="98">
        <v>30000</v>
      </c>
      <c r="I658" s="98">
        <f t="shared" si="30"/>
        <v>80000</v>
      </c>
    </row>
    <row r="659" spans="1:9" x14ac:dyDescent="0.25">
      <c r="A659" t="s">
        <v>241</v>
      </c>
      <c r="B659" s="168" t="s">
        <v>1024</v>
      </c>
      <c r="C659" s="1" t="s">
        <v>1019</v>
      </c>
      <c r="D659" s="1" t="s">
        <v>1966</v>
      </c>
      <c r="E659" s="1" t="s">
        <v>11</v>
      </c>
      <c r="G659" s="1">
        <v>0</v>
      </c>
      <c r="H659" s="98">
        <v>45000</v>
      </c>
      <c r="I659" s="98">
        <f t="shared" si="30"/>
        <v>110000</v>
      </c>
    </row>
    <row r="660" spans="1:9" s="135" customFormat="1" x14ac:dyDescent="0.25">
      <c r="A660" s="135" t="s">
        <v>30</v>
      </c>
      <c r="B660" s="166" t="s">
        <v>1025</v>
      </c>
      <c r="C660" s="136"/>
      <c r="D660" s="136" t="s">
        <v>482</v>
      </c>
      <c r="E660" s="136" t="s">
        <v>11</v>
      </c>
      <c r="G660" s="136">
        <v>1</v>
      </c>
      <c r="H660" s="136">
        <v>80000</v>
      </c>
      <c r="I660" s="137">
        <f t="shared" si="30"/>
        <v>180000</v>
      </c>
    </row>
    <row r="661" spans="1:9" s="135" customFormat="1" x14ac:dyDescent="0.25">
      <c r="A661" s="135" t="s">
        <v>245</v>
      </c>
      <c r="B661" s="166" t="s">
        <v>1026</v>
      </c>
      <c r="C661" s="136" t="s">
        <v>1027</v>
      </c>
      <c r="D661" s="136" t="s">
        <v>482</v>
      </c>
      <c r="E661" s="136" t="s">
        <v>11</v>
      </c>
      <c r="G661" s="136">
        <v>1</v>
      </c>
      <c r="H661" s="137">
        <v>46000</v>
      </c>
      <c r="I661" s="137">
        <f t="shared" si="30"/>
        <v>112000</v>
      </c>
    </row>
    <row r="662" spans="1:9" x14ac:dyDescent="0.25">
      <c r="A662" t="s">
        <v>55</v>
      </c>
      <c r="B662" s="168" t="s">
        <v>1028</v>
      </c>
      <c r="C662" s="1" t="s">
        <v>54</v>
      </c>
      <c r="D662" s="1" t="s">
        <v>1610</v>
      </c>
      <c r="E662" s="1" t="s">
        <v>11</v>
      </c>
      <c r="F662" s="1" t="s">
        <v>1029</v>
      </c>
      <c r="G662" s="1">
        <v>0</v>
      </c>
      <c r="H662" s="1">
        <v>51000</v>
      </c>
      <c r="I662" s="98">
        <f t="shared" si="30"/>
        <v>122000</v>
      </c>
    </row>
    <row r="663" spans="1:9" x14ac:dyDescent="0.25">
      <c r="A663" t="s">
        <v>128</v>
      </c>
      <c r="B663" s="168" t="s">
        <v>1030</v>
      </c>
      <c r="D663" s="1" t="s">
        <v>682</v>
      </c>
      <c r="E663" s="1" t="s">
        <v>11</v>
      </c>
      <c r="G663" s="1">
        <v>0</v>
      </c>
      <c r="H663" s="98">
        <v>35000</v>
      </c>
      <c r="I663" s="98">
        <f t="shared" si="30"/>
        <v>90000</v>
      </c>
    </row>
    <row r="664" spans="1:9" x14ac:dyDescent="0.25">
      <c r="A664" t="s">
        <v>55</v>
      </c>
      <c r="B664" s="168" t="s">
        <v>1031</v>
      </c>
      <c r="C664" s="1" t="s">
        <v>1032</v>
      </c>
      <c r="E664" s="1" t="s">
        <v>11</v>
      </c>
      <c r="G664" s="1">
        <v>0</v>
      </c>
      <c r="H664" s="1">
        <v>63000</v>
      </c>
      <c r="I664" s="98">
        <f t="shared" si="30"/>
        <v>146000</v>
      </c>
    </row>
    <row r="665" spans="1:9" x14ac:dyDescent="0.25">
      <c r="A665" t="s">
        <v>136</v>
      </c>
      <c r="B665" s="168" t="s">
        <v>1033</v>
      </c>
      <c r="C665" s="1" t="s">
        <v>197</v>
      </c>
      <c r="E665" s="1" t="s">
        <v>11</v>
      </c>
      <c r="G665" s="1">
        <v>0</v>
      </c>
      <c r="H665" s="1">
        <v>58000</v>
      </c>
      <c r="I665" s="98">
        <f t="shared" si="30"/>
        <v>136000</v>
      </c>
    </row>
    <row r="666" spans="1:9" s="132" customFormat="1" x14ac:dyDescent="0.25">
      <c r="A666" s="132" t="s">
        <v>123</v>
      </c>
      <c r="B666" s="167" t="s">
        <v>1034</v>
      </c>
      <c r="C666" s="133" t="s">
        <v>625</v>
      </c>
      <c r="D666" s="133" t="s">
        <v>80</v>
      </c>
      <c r="E666" s="133" t="s">
        <v>13</v>
      </c>
      <c r="F666" s="133" t="s">
        <v>24</v>
      </c>
      <c r="G666" s="133">
        <v>1</v>
      </c>
      <c r="H666" s="134">
        <v>30000</v>
      </c>
      <c r="I666" s="134">
        <f t="shared" si="30"/>
        <v>80000</v>
      </c>
    </row>
    <row r="667" spans="1:9" x14ac:dyDescent="0.25">
      <c r="A667" t="s">
        <v>123</v>
      </c>
      <c r="B667" s="168" t="s">
        <v>1034</v>
      </c>
      <c r="C667" s="1" t="s">
        <v>214</v>
      </c>
      <c r="E667" s="1" t="s">
        <v>11</v>
      </c>
      <c r="G667" s="1">
        <v>0</v>
      </c>
      <c r="H667" s="1">
        <v>56000</v>
      </c>
      <c r="I667" s="1">
        <f t="shared" si="30"/>
        <v>132000</v>
      </c>
    </row>
    <row r="668" spans="1:9" x14ac:dyDescent="0.25">
      <c r="A668" t="s">
        <v>245</v>
      </c>
      <c r="B668" s="168" t="s">
        <v>1036</v>
      </c>
      <c r="C668" s="1" t="s">
        <v>318</v>
      </c>
      <c r="D668" s="1" t="s">
        <v>1968</v>
      </c>
      <c r="E668" s="1" t="s">
        <v>11</v>
      </c>
      <c r="G668" s="1">
        <v>0</v>
      </c>
      <c r="H668" s="98">
        <v>40000</v>
      </c>
      <c r="I668" s="98">
        <f t="shared" si="30"/>
        <v>100000</v>
      </c>
    </row>
    <row r="669" spans="1:9" x14ac:dyDescent="0.25">
      <c r="A669" t="s">
        <v>245</v>
      </c>
      <c r="B669" s="168" t="s">
        <v>1037</v>
      </c>
      <c r="C669" s="1" t="s">
        <v>119</v>
      </c>
      <c r="D669" s="1" t="s">
        <v>247</v>
      </c>
      <c r="E669" s="1" t="s">
        <v>11</v>
      </c>
      <c r="G669" s="1">
        <v>0</v>
      </c>
      <c r="H669" s="98">
        <v>60000</v>
      </c>
      <c r="I669" s="98">
        <f t="shared" si="30"/>
        <v>140000</v>
      </c>
    </row>
    <row r="670" spans="1:9" x14ac:dyDescent="0.25">
      <c r="A670" t="s">
        <v>88</v>
      </c>
      <c r="B670" s="168" t="s">
        <v>1038</v>
      </c>
      <c r="C670" s="1" t="s">
        <v>921</v>
      </c>
      <c r="D670" s="1">
        <v>102</v>
      </c>
      <c r="E670" s="1" t="s">
        <v>11</v>
      </c>
      <c r="H670" s="1">
        <v>28000</v>
      </c>
      <c r="I670" s="98">
        <f t="shared" si="30"/>
        <v>76000</v>
      </c>
    </row>
    <row r="671" spans="1:9" x14ac:dyDescent="0.25">
      <c r="A671" t="s">
        <v>88</v>
      </c>
      <c r="B671" s="168" t="s">
        <v>1038</v>
      </c>
      <c r="C671" s="1" t="s">
        <v>1039</v>
      </c>
      <c r="E671" s="1" t="s">
        <v>11</v>
      </c>
      <c r="G671" s="1">
        <v>0</v>
      </c>
      <c r="H671" s="1">
        <v>33000</v>
      </c>
      <c r="I671" s="98">
        <f t="shared" si="30"/>
        <v>86000</v>
      </c>
    </row>
    <row r="672" spans="1:9" x14ac:dyDescent="0.25">
      <c r="A672" t="s">
        <v>405</v>
      </c>
      <c r="B672" s="168" t="s">
        <v>1040</v>
      </c>
      <c r="C672" s="1" t="s">
        <v>522</v>
      </c>
      <c r="D672" s="1" t="s">
        <v>316</v>
      </c>
      <c r="E672" s="1" t="s">
        <v>11</v>
      </c>
      <c r="G672" s="1">
        <v>0</v>
      </c>
      <c r="H672" s="98">
        <v>48000</v>
      </c>
      <c r="I672" s="98">
        <f t="shared" si="30"/>
        <v>116000</v>
      </c>
    </row>
    <row r="673" spans="1:9" x14ac:dyDescent="0.25">
      <c r="A673" t="s">
        <v>144</v>
      </c>
      <c r="B673" s="168" t="s">
        <v>1042</v>
      </c>
      <c r="C673" s="1" t="s">
        <v>1000</v>
      </c>
      <c r="D673" s="1" t="s">
        <v>1043</v>
      </c>
      <c r="E673" s="1" t="s">
        <v>11</v>
      </c>
      <c r="F673" s="1"/>
      <c r="G673" s="1">
        <v>0</v>
      </c>
      <c r="H673" s="1">
        <v>53000</v>
      </c>
      <c r="I673" s="1">
        <f t="shared" si="30"/>
        <v>126000</v>
      </c>
    </row>
    <row r="674" spans="1:9" s="103" customFormat="1" x14ac:dyDescent="0.25">
      <c r="A674" s="103" t="s">
        <v>144</v>
      </c>
      <c r="B674" s="173" t="s">
        <v>1042</v>
      </c>
      <c r="C674" s="105" t="s">
        <v>563</v>
      </c>
      <c r="D674" s="105" t="s">
        <v>1041</v>
      </c>
      <c r="E674" s="105" t="s">
        <v>11</v>
      </c>
      <c r="G674" s="105">
        <v>0</v>
      </c>
      <c r="H674" s="138">
        <v>55000</v>
      </c>
      <c r="I674" s="138">
        <f t="shared" ref="I674:I704" si="31">H674*2+20000</f>
        <v>130000</v>
      </c>
    </row>
    <row r="675" spans="1:9" x14ac:dyDescent="0.25">
      <c r="A675" t="s">
        <v>144</v>
      </c>
      <c r="B675" s="168" t="s">
        <v>1042</v>
      </c>
      <c r="C675" s="1" t="s">
        <v>542</v>
      </c>
      <c r="D675" s="1" t="s">
        <v>1943</v>
      </c>
      <c r="E675" s="1" t="s">
        <v>11</v>
      </c>
      <c r="G675" s="1">
        <v>1</v>
      </c>
      <c r="H675" s="98">
        <v>41000</v>
      </c>
      <c r="I675" s="98">
        <f t="shared" si="31"/>
        <v>102000</v>
      </c>
    </row>
    <row r="676" spans="1:9" x14ac:dyDescent="0.25">
      <c r="A676" t="s">
        <v>144</v>
      </c>
      <c r="B676" s="168" t="s">
        <v>1045</v>
      </c>
      <c r="C676" s="1" t="s">
        <v>40</v>
      </c>
      <c r="E676" s="1" t="s">
        <v>13</v>
      </c>
      <c r="H676" s="1">
        <v>57000</v>
      </c>
      <c r="I676" s="98">
        <f t="shared" si="31"/>
        <v>134000</v>
      </c>
    </row>
    <row r="677" spans="1:9" x14ac:dyDescent="0.25">
      <c r="A677" t="s">
        <v>144</v>
      </c>
      <c r="B677" s="168" t="s">
        <v>1045</v>
      </c>
      <c r="C677" s="1" t="s">
        <v>563</v>
      </c>
      <c r="D677" s="1" t="s">
        <v>319</v>
      </c>
      <c r="E677" s="1" t="s">
        <v>11</v>
      </c>
      <c r="F677" t="s">
        <v>101</v>
      </c>
      <c r="G677" s="1">
        <v>0</v>
      </c>
      <c r="H677" s="1">
        <v>61000</v>
      </c>
      <c r="I677" s="98">
        <f t="shared" si="31"/>
        <v>142000</v>
      </c>
    </row>
    <row r="678" spans="1:9" x14ac:dyDescent="0.25">
      <c r="A678" t="s">
        <v>144</v>
      </c>
      <c r="B678" s="168" t="s">
        <v>1048</v>
      </c>
      <c r="C678" s="1" t="s">
        <v>581</v>
      </c>
      <c r="E678" s="1" t="s">
        <v>11</v>
      </c>
      <c r="G678" s="1">
        <v>0</v>
      </c>
      <c r="H678" s="98">
        <v>36000</v>
      </c>
      <c r="I678" s="98">
        <f t="shared" si="31"/>
        <v>92000</v>
      </c>
    </row>
    <row r="679" spans="1:9" x14ac:dyDescent="0.25">
      <c r="A679" t="s">
        <v>195</v>
      </c>
      <c r="B679" s="168" t="s">
        <v>1049</v>
      </c>
      <c r="C679" s="1" t="s">
        <v>17</v>
      </c>
      <c r="D679" s="1" t="s">
        <v>2017</v>
      </c>
      <c r="E679" s="1" t="s">
        <v>13</v>
      </c>
      <c r="G679" s="1">
        <v>0</v>
      </c>
      <c r="H679" s="98">
        <v>35000</v>
      </c>
      <c r="I679" s="98">
        <f t="shared" si="31"/>
        <v>90000</v>
      </c>
    </row>
    <row r="680" spans="1:9" s="135" customFormat="1" x14ac:dyDescent="0.25">
      <c r="A680" s="135" t="s">
        <v>1050</v>
      </c>
      <c r="B680" s="166" t="s">
        <v>1051</v>
      </c>
      <c r="C680" s="136" t="s">
        <v>1052</v>
      </c>
      <c r="D680" s="136" t="s">
        <v>1041</v>
      </c>
      <c r="E680" s="136" t="s">
        <v>11</v>
      </c>
      <c r="G680" s="136">
        <v>1</v>
      </c>
      <c r="H680" s="137">
        <v>35000</v>
      </c>
      <c r="I680" s="137">
        <f t="shared" si="31"/>
        <v>90000</v>
      </c>
    </row>
    <row r="681" spans="1:9" x14ac:dyDescent="0.25">
      <c r="A681" t="s">
        <v>12</v>
      </c>
      <c r="B681" s="168" t="s">
        <v>1053</v>
      </c>
      <c r="C681" s="1" t="s">
        <v>468</v>
      </c>
      <c r="E681" s="1" t="s">
        <v>11</v>
      </c>
      <c r="G681" s="1">
        <v>0</v>
      </c>
      <c r="H681" s="98">
        <v>54000</v>
      </c>
      <c r="I681" s="98">
        <f t="shared" si="31"/>
        <v>128000</v>
      </c>
    </row>
    <row r="682" spans="1:9" x14ac:dyDescent="0.25">
      <c r="A682" t="s">
        <v>12</v>
      </c>
      <c r="B682" s="168" t="s">
        <v>1054</v>
      </c>
      <c r="C682" s="1" t="s">
        <v>214</v>
      </c>
      <c r="D682" s="1" t="s">
        <v>1913</v>
      </c>
      <c r="E682" s="1" t="s">
        <v>955</v>
      </c>
      <c r="G682" s="1">
        <v>0</v>
      </c>
      <c r="H682" s="1">
        <v>70000</v>
      </c>
      <c r="I682" s="98">
        <f t="shared" si="31"/>
        <v>160000</v>
      </c>
    </row>
    <row r="683" spans="1:9" x14ac:dyDescent="0.25">
      <c r="A683" t="s">
        <v>405</v>
      </c>
      <c r="B683" s="168" t="s">
        <v>1055</v>
      </c>
      <c r="C683" s="1" t="s">
        <v>16</v>
      </c>
      <c r="E683" s="1" t="s">
        <v>11</v>
      </c>
      <c r="G683" s="1">
        <v>0</v>
      </c>
      <c r="H683" s="1">
        <v>48000</v>
      </c>
      <c r="I683" s="98">
        <f t="shared" si="31"/>
        <v>116000</v>
      </c>
    </row>
    <row r="684" spans="1:9" x14ac:dyDescent="0.25">
      <c r="A684" t="s">
        <v>947</v>
      </c>
      <c r="B684" s="168" t="s">
        <v>1056</v>
      </c>
      <c r="C684" s="1" t="s">
        <v>28</v>
      </c>
      <c r="D684" s="1" t="s">
        <v>1043</v>
      </c>
      <c r="E684" s="1" t="s">
        <v>11</v>
      </c>
      <c r="F684" t="s">
        <v>1057</v>
      </c>
      <c r="G684" s="1">
        <v>0</v>
      </c>
      <c r="H684" s="98">
        <v>45000</v>
      </c>
      <c r="I684" s="98">
        <f t="shared" si="31"/>
        <v>110000</v>
      </c>
    </row>
    <row r="685" spans="1:9" x14ac:dyDescent="0.25">
      <c r="A685" t="s">
        <v>183</v>
      </c>
      <c r="B685" s="168" t="s">
        <v>1058</v>
      </c>
      <c r="E685" s="1" t="s">
        <v>11</v>
      </c>
      <c r="F685" t="s">
        <v>537</v>
      </c>
      <c r="G685" s="1">
        <v>0</v>
      </c>
      <c r="H685" s="98">
        <v>29000</v>
      </c>
      <c r="I685" s="98">
        <f t="shared" si="31"/>
        <v>78000</v>
      </c>
    </row>
    <row r="686" spans="1:9" x14ac:dyDescent="0.25">
      <c r="B686" s="168" t="s">
        <v>1060</v>
      </c>
      <c r="C686" s="1" t="s">
        <v>113</v>
      </c>
      <c r="D686" s="1" t="s">
        <v>1953</v>
      </c>
      <c r="E686" s="1" t="s">
        <v>11</v>
      </c>
      <c r="G686" s="1">
        <v>1</v>
      </c>
      <c r="H686" s="98">
        <v>41000</v>
      </c>
      <c r="I686" s="98">
        <f t="shared" si="31"/>
        <v>102000</v>
      </c>
    </row>
    <row r="687" spans="1:9" x14ac:dyDescent="0.25">
      <c r="A687" t="s">
        <v>144</v>
      </c>
      <c r="B687" s="168" t="s">
        <v>1059</v>
      </c>
      <c r="C687" s="1" t="s">
        <v>395</v>
      </c>
      <c r="E687" s="1" t="s">
        <v>11</v>
      </c>
      <c r="F687" s="1" t="s">
        <v>106</v>
      </c>
      <c r="G687" s="1">
        <v>0</v>
      </c>
      <c r="H687" s="1">
        <v>44000</v>
      </c>
      <c r="I687" s="1">
        <f t="shared" si="31"/>
        <v>108000</v>
      </c>
    </row>
    <row r="688" spans="1:9" x14ac:dyDescent="0.25">
      <c r="A688" t="s">
        <v>1061</v>
      </c>
      <c r="B688" s="168" t="s">
        <v>1062</v>
      </c>
      <c r="C688" s="1" t="s">
        <v>182</v>
      </c>
      <c r="E688" s="1" t="s">
        <v>11</v>
      </c>
      <c r="H688" s="98">
        <v>35000</v>
      </c>
      <c r="I688" s="98">
        <f t="shared" si="31"/>
        <v>90000</v>
      </c>
    </row>
    <row r="689" spans="1:9" s="135" customFormat="1" ht="12" customHeight="1" x14ac:dyDescent="0.25">
      <c r="A689" s="135" t="s">
        <v>60</v>
      </c>
      <c r="B689" s="166" t="s">
        <v>1063</v>
      </c>
      <c r="C689" s="136" t="s">
        <v>1004</v>
      </c>
      <c r="D689" s="136" t="s">
        <v>1901</v>
      </c>
      <c r="E689" s="136" t="s">
        <v>13</v>
      </c>
      <c r="G689" s="136">
        <v>4</v>
      </c>
      <c r="H689" s="137">
        <v>30000</v>
      </c>
      <c r="I689" s="137">
        <f t="shared" si="31"/>
        <v>80000</v>
      </c>
    </row>
    <row r="690" spans="1:9" x14ac:dyDescent="0.25">
      <c r="A690" t="s">
        <v>60</v>
      </c>
      <c r="B690" s="168" t="s">
        <v>1064</v>
      </c>
      <c r="C690" s="1" t="s">
        <v>1065</v>
      </c>
      <c r="D690" s="1" t="s">
        <v>1066</v>
      </c>
      <c r="E690" s="1" t="s">
        <v>13</v>
      </c>
      <c r="G690" s="1">
        <v>2</v>
      </c>
      <c r="H690" s="1">
        <v>25000</v>
      </c>
      <c r="I690" s="98">
        <f t="shared" si="31"/>
        <v>70000</v>
      </c>
    </row>
    <row r="691" spans="1:9" x14ac:dyDescent="0.25">
      <c r="A691" t="s">
        <v>60</v>
      </c>
      <c r="B691" s="168" t="s">
        <v>1067</v>
      </c>
      <c r="C691" s="1" t="s">
        <v>146</v>
      </c>
      <c r="D691" s="1" t="s">
        <v>207</v>
      </c>
      <c r="E691" s="1" t="s">
        <v>11</v>
      </c>
      <c r="G691" s="1">
        <v>0</v>
      </c>
      <c r="H691" s="1">
        <v>44000</v>
      </c>
      <c r="I691" s="98">
        <f t="shared" si="31"/>
        <v>108000</v>
      </c>
    </row>
    <row r="692" spans="1:9" x14ac:dyDescent="0.25">
      <c r="A692" t="s">
        <v>60</v>
      </c>
      <c r="B692" s="168" t="s">
        <v>1068</v>
      </c>
      <c r="C692" s="1" t="s">
        <v>1032</v>
      </c>
      <c r="D692" s="1" t="s">
        <v>391</v>
      </c>
      <c r="E692" s="1" t="s">
        <v>11</v>
      </c>
      <c r="G692" s="1">
        <v>0</v>
      </c>
      <c r="H692" s="98">
        <v>52000</v>
      </c>
      <c r="I692" s="98">
        <f t="shared" si="31"/>
        <v>124000</v>
      </c>
    </row>
    <row r="693" spans="1:9" x14ac:dyDescent="0.25">
      <c r="A693" s="135" t="s">
        <v>60</v>
      </c>
      <c r="B693" s="166" t="s">
        <v>1961</v>
      </c>
      <c r="C693" s="136" t="s">
        <v>287</v>
      </c>
      <c r="D693" s="136" t="s">
        <v>1960</v>
      </c>
      <c r="E693" s="136" t="s">
        <v>11</v>
      </c>
      <c r="F693" s="135"/>
      <c r="G693" s="136">
        <v>2</v>
      </c>
      <c r="H693" s="137">
        <v>39000</v>
      </c>
      <c r="I693" s="137">
        <f t="shared" si="31"/>
        <v>98000</v>
      </c>
    </row>
    <row r="694" spans="1:9" s="135" customFormat="1" ht="12" customHeight="1" x14ac:dyDescent="0.25">
      <c r="A694" s="135" t="s">
        <v>60</v>
      </c>
      <c r="B694" s="166" t="s">
        <v>1069</v>
      </c>
      <c r="C694" s="136" t="s">
        <v>1070</v>
      </c>
      <c r="D694" s="136" t="s">
        <v>1901</v>
      </c>
      <c r="E694" s="136" t="s">
        <v>13</v>
      </c>
      <c r="G694" s="136">
        <v>3</v>
      </c>
      <c r="H694" s="137">
        <v>25000</v>
      </c>
      <c r="I694" s="137">
        <f t="shared" si="31"/>
        <v>70000</v>
      </c>
    </row>
    <row r="695" spans="1:9" s="132" customFormat="1" x14ac:dyDescent="0.25">
      <c r="A695" s="132" t="s">
        <v>241</v>
      </c>
      <c r="B695" s="167" t="s">
        <v>1071</v>
      </c>
      <c r="C695" s="133">
        <v>1998</v>
      </c>
      <c r="D695" s="133" t="s">
        <v>80</v>
      </c>
      <c r="E695" s="133" t="s">
        <v>13</v>
      </c>
      <c r="F695" s="132" t="s">
        <v>1981</v>
      </c>
      <c r="G695" s="133">
        <v>1</v>
      </c>
      <c r="H695" s="134">
        <v>25000</v>
      </c>
      <c r="I695" s="134">
        <f t="shared" si="31"/>
        <v>70000</v>
      </c>
    </row>
    <row r="696" spans="1:9" s="135" customFormat="1" x14ac:dyDescent="0.25">
      <c r="A696" s="135" t="s">
        <v>241</v>
      </c>
      <c r="B696" s="166" t="s">
        <v>1072</v>
      </c>
      <c r="C696" s="136" t="s">
        <v>681</v>
      </c>
      <c r="D696" s="136" t="s">
        <v>240</v>
      </c>
      <c r="E696" s="136" t="s">
        <v>11</v>
      </c>
      <c r="G696" s="136">
        <v>1</v>
      </c>
      <c r="H696" s="137">
        <v>37000</v>
      </c>
      <c r="I696" s="137">
        <f t="shared" si="31"/>
        <v>94000</v>
      </c>
    </row>
    <row r="697" spans="1:9" s="135" customFormat="1" x14ac:dyDescent="0.25">
      <c r="A697" s="135" t="s">
        <v>84</v>
      </c>
      <c r="B697" s="166" t="s">
        <v>1073</v>
      </c>
      <c r="C697" s="136" t="s">
        <v>1074</v>
      </c>
      <c r="D697" s="136" t="s">
        <v>1948</v>
      </c>
      <c r="E697" s="136" t="s">
        <v>11</v>
      </c>
      <c r="F697" s="136" t="s">
        <v>101</v>
      </c>
      <c r="G697" s="136">
        <v>1</v>
      </c>
      <c r="H697" s="136">
        <v>60000</v>
      </c>
      <c r="I697" s="137">
        <f t="shared" si="31"/>
        <v>140000</v>
      </c>
    </row>
    <row r="698" spans="1:9" x14ac:dyDescent="0.25">
      <c r="A698" t="s">
        <v>12</v>
      </c>
      <c r="B698" s="168" t="s">
        <v>1075</v>
      </c>
      <c r="C698" s="1" t="s">
        <v>468</v>
      </c>
      <c r="E698" s="1" t="s">
        <v>11</v>
      </c>
      <c r="G698" s="1">
        <v>0</v>
      </c>
      <c r="H698" s="98">
        <v>53000</v>
      </c>
      <c r="I698" s="98">
        <f t="shared" si="31"/>
        <v>126000</v>
      </c>
    </row>
    <row r="699" spans="1:9" x14ac:dyDescent="0.25">
      <c r="A699" t="s">
        <v>12</v>
      </c>
      <c r="B699" s="168" t="s">
        <v>1076</v>
      </c>
      <c r="C699" s="1">
        <v>1996</v>
      </c>
      <c r="D699" s="1">
        <v>117</v>
      </c>
      <c r="E699" s="1" t="s">
        <v>11</v>
      </c>
      <c r="G699" s="1">
        <v>0</v>
      </c>
      <c r="H699" s="98">
        <v>53000</v>
      </c>
      <c r="I699" s="98">
        <f t="shared" si="31"/>
        <v>126000</v>
      </c>
    </row>
    <row r="700" spans="1:9" x14ac:dyDescent="0.25">
      <c r="A700" t="s">
        <v>12</v>
      </c>
      <c r="B700" s="168" t="s">
        <v>1077</v>
      </c>
      <c r="C700" s="1">
        <v>2008</v>
      </c>
      <c r="E700" s="1" t="s">
        <v>11</v>
      </c>
      <c r="G700" s="1">
        <v>0</v>
      </c>
      <c r="H700" s="98">
        <v>55000</v>
      </c>
      <c r="I700" s="98">
        <f t="shared" si="31"/>
        <v>130000</v>
      </c>
    </row>
    <row r="701" spans="1:9" x14ac:dyDescent="0.25">
      <c r="A701" t="s">
        <v>12</v>
      </c>
      <c r="B701" s="168" t="s">
        <v>1078</v>
      </c>
      <c r="D701" s="1">
        <v>98</v>
      </c>
      <c r="E701" s="1" t="s">
        <v>11</v>
      </c>
      <c r="H701" s="1">
        <v>145000</v>
      </c>
      <c r="I701" s="98">
        <f t="shared" si="31"/>
        <v>310000</v>
      </c>
    </row>
    <row r="702" spans="1:9" x14ac:dyDescent="0.25">
      <c r="A702" t="s">
        <v>12</v>
      </c>
      <c r="B702" s="168" t="s">
        <v>1078</v>
      </c>
      <c r="D702" s="1">
        <v>99</v>
      </c>
      <c r="E702" s="1" t="s">
        <v>11</v>
      </c>
      <c r="H702" s="1">
        <v>145000</v>
      </c>
      <c r="I702" s="98">
        <f t="shared" si="31"/>
        <v>310000</v>
      </c>
    </row>
    <row r="703" spans="1:9" x14ac:dyDescent="0.25">
      <c r="A703" t="s">
        <v>30</v>
      </c>
      <c r="B703" s="168" t="s">
        <v>745</v>
      </c>
      <c r="C703" s="1" t="s">
        <v>746</v>
      </c>
      <c r="D703" s="1" t="s">
        <v>559</v>
      </c>
      <c r="E703" s="1" t="s">
        <v>11</v>
      </c>
      <c r="G703" s="1">
        <v>0</v>
      </c>
      <c r="H703" s="1">
        <v>38000</v>
      </c>
      <c r="I703" s="1">
        <f t="shared" si="31"/>
        <v>96000</v>
      </c>
    </row>
    <row r="704" spans="1:9" s="135" customFormat="1" x14ac:dyDescent="0.25">
      <c r="A704" s="135" t="s">
        <v>915</v>
      </c>
      <c r="B704" s="166" t="s">
        <v>916</v>
      </c>
      <c r="C704" s="136" t="s">
        <v>94</v>
      </c>
      <c r="D704" s="136" t="s">
        <v>98</v>
      </c>
      <c r="E704" s="136" t="s">
        <v>11</v>
      </c>
      <c r="F704" s="135" t="s">
        <v>537</v>
      </c>
      <c r="G704" s="136">
        <v>1</v>
      </c>
      <c r="H704" s="137">
        <v>45000</v>
      </c>
      <c r="I704" s="137">
        <f t="shared" si="31"/>
        <v>110000</v>
      </c>
    </row>
    <row r="705" spans="1:9" x14ac:dyDescent="0.25">
      <c r="A705" t="s">
        <v>245</v>
      </c>
      <c r="B705" s="168" t="s">
        <v>1081</v>
      </c>
      <c r="C705" s="1" t="s">
        <v>377</v>
      </c>
      <c r="E705" s="1" t="s">
        <v>11</v>
      </c>
      <c r="G705" s="1">
        <v>0</v>
      </c>
      <c r="H705" s="1">
        <v>72000</v>
      </c>
      <c r="I705" s="98">
        <f>H705*2+20000</f>
        <v>164000</v>
      </c>
    </row>
    <row r="706" spans="1:9" x14ac:dyDescent="0.25">
      <c r="A706" t="s">
        <v>245</v>
      </c>
      <c r="B706" s="168" t="s">
        <v>1082</v>
      </c>
      <c r="C706" s="1" t="s">
        <v>431</v>
      </c>
      <c r="D706" s="1" t="s">
        <v>1938</v>
      </c>
      <c r="E706" s="1" t="s">
        <v>11</v>
      </c>
      <c r="F706" t="s">
        <v>1937</v>
      </c>
      <c r="G706" s="1">
        <v>1</v>
      </c>
      <c r="H706" s="98">
        <v>35000</v>
      </c>
      <c r="I706" s="98">
        <f t="shared" ref="I706:I728" si="32">H706*2+20000</f>
        <v>90000</v>
      </c>
    </row>
    <row r="707" spans="1:9" x14ac:dyDescent="0.25">
      <c r="A707" t="s">
        <v>245</v>
      </c>
      <c r="B707" s="168" t="s">
        <v>1083</v>
      </c>
      <c r="C707" s="1" t="s">
        <v>1084</v>
      </c>
      <c r="E707" s="1" t="s">
        <v>11</v>
      </c>
      <c r="H707" s="1">
        <v>65000</v>
      </c>
      <c r="I707" s="98">
        <f t="shared" si="32"/>
        <v>150000</v>
      </c>
    </row>
    <row r="708" spans="1:9" x14ac:dyDescent="0.25">
      <c r="A708" t="s">
        <v>62</v>
      </c>
      <c r="B708" s="168" t="s">
        <v>1085</v>
      </c>
      <c r="C708" s="1" t="s">
        <v>16</v>
      </c>
      <c r="E708" s="1" t="s">
        <v>11</v>
      </c>
      <c r="G708" s="1">
        <v>0</v>
      </c>
      <c r="H708" s="98">
        <v>35000</v>
      </c>
      <c r="I708" s="98">
        <f t="shared" si="32"/>
        <v>90000</v>
      </c>
    </row>
    <row r="709" spans="1:9" s="135" customFormat="1" x14ac:dyDescent="0.25">
      <c r="A709" s="135" t="s">
        <v>492</v>
      </c>
      <c r="B709" s="166" t="s">
        <v>1086</v>
      </c>
      <c r="C709" s="136" t="s">
        <v>1087</v>
      </c>
      <c r="D709" s="136" t="s">
        <v>1856</v>
      </c>
      <c r="E709" s="136" t="s">
        <v>11</v>
      </c>
      <c r="F709" s="135" t="s">
        <v>537</v>
      </c>
      <c r="G709" s="136">
        <v>1</v>
      </c>
      <c r="H709" s="137">
        <v>44000</v>
      </c>
      <c r="I709" s="137">
        <f t="shared" si="32"/>
        <v>108000</v>
      </c>
    </row>
    <row r="710" spans="1:9" x14ac:dyDescent="0.25">
      <c r="A710" t="s">
        <v>492</v>
      </c>
      <c r="B710" s="168" t="s">
        <v>1086</v>
      </c>
      <c r="C710" s="1" t="s">
        <v>1087</v>
      </c>
      <c r="E710" s="1" t="s">
        <v>13</v>
      </c>
      <c r="G710" s="1">
        <v>0</v>
      </c>
      <c r="H710" s="1">
        <v>30000</v>
      </c>
      <c r="I710" s="98">
        <f t="shared" si="32"/>
        <v>80000</v>
      </c>
    </row>
    <row r="711" spans="1:9" x14ac:dyDescent="0.25">
      <c r="A711" t="s">
        <v>492</v>
      </c>
      <c r="B711" s="168" t="s">
        <v>1088</v>
      </c>
      <c r="C711" s="1" t="s">
        <v>40</v>
      </c>
      <c r="E711" s="1" t="s">
        <v>11</v>
      </c>
      <c r="G711" s="1">
        <v>0</v>
      </c>
      <c r="H711" s="1">
        <v>40000</v>
      </c>
      <c r="I711" s="98">
        <f t="shared" si="32"/>
        <v>100000</v>
      </c>
    </row>
    <row r="712" spans="1:9" x14ac:dyDescent="0.25">
      <c r="A712" t="s">
        <v>492</v>
      </c>
      <c r="B712" s="168" t="s">
        <v>1089</v>
      </c>
      <c r="C712" s="1" t="s">
        <v>176</v>
      </c>
      <c r="E712" s="1" t="s">
        <v>11</v>
      </c>
      <c r="G712" s="1">
        <v>0</v>
      </c>
      <c r="H712" s="1">
        <v>55000</v>
      </c>
      <c r="I712" s="1">
        <f t="shared" si="32"/>
        <v>130000</v>
      </c>
    </row>
    <row r="713" spans="1:9" x14ac:dyDescent="0.25">
      <c r="A713" t="s">
        <v>241</v>
      </c>
      <c r="B713" s="168" t="s">
        <v>1090</v>
      </c>
      <c r="C713" s="1" t="s">
        <v>54</v>
      </c>
      <c r="D713" s="1" t="s">
        <v>838</v>
      </c>
      <c r="E713" s="1" t="s">
        <v>11</v>
      </c>
      <c r="G713" s="1">
        <v>0</v>
      </c>
      <c r="H713" s="98">
        <v>64000</v>
      </c>
      <c r="I713" s="98">
        <f t="shared" si="32"/>
        <v>148000</v>
      </c>
    </row>
    <row r="714" spans="1:9" x14ac:dyDescent="0.25">
      <c r="A714" t="s">
        <v>144</v>
      </c>
      <c r="B714" s="168" t="s">
        <v>1091</v>
      </c>
      <c r="C714" s="1" t="s">
        <v>345</v>
      </c>
      <c r="E714" s="1" t="s">
        <v>11</v>
      </c>
      <c r="F714" s="1" t="s">
        <v>1092</v>
      </c>
      <c r="G714" s="1">
        <v>0</v>
      </c>
      <c r="H714" s="1">
        <v>38000</v>
      </c>
      <c r="I714" s="98">
        <f t="shared" si="32"/>
        <v>96000</v>
      </c>
    </row>
    <row r="715" spans="1:9" x14ac:dyDescent="0.25">
      <c r="A715" t="s">
        <v>144</v>
      </c>
      <c r="B715" s="168" t="s">
        <v>1091</v>
      </c>
      <c r="C715" s="1" t="s">
        <v>807</v>
      </c>
      <c r="D715" s="1" t="s">
        <v>1093</v>
      </c>
      <c r="E715" s="1" t="s">
        <v>11</v>
      </c>
      <c r="G715" s="1">
        <v>0</v>
      </c>
      <c r="H715" s="98">
        <v>47000</v>
      </c>
      <c r="I715" s="98">
        <f t="shared" si="32"/>
        <v>114000</v>
      </c>
    </row>
    <row r="716" spans="1:9" s="135" customFormat="1" x14ac:dyDescent="0.25">
      <c r="A716" s="135" t="s">
        <v>144</v>
      </c>
      <c r="B716" s="166" t="s">
        <v>1091</v>
      </c>
      <c r="C716" s="136" t="s">
        <v>110</v>
      </c>
      <c r="D716" s="136" t="s">
        <v>1041</v>
      </c>
      <c r="E716" s="136" t="s">
        <v>11</v>
      </c>
      <c r="G716" s="136">
        <v>2</v>
      </c>
      <c r="H716" s="137">
        <v>44000</v>
      </c>
      <c r="I716" s="137">
        <f t="shared" si="32"/>
        <v>108000</v>
      </c>
    </row>
    <row r="717" spans="1:9" x14ac:dyDescent="0.25">
      <c r="A717" t="s">
        <v>144</v>
      </c>
      <c r="B717" s="168" t="s">
        <v>1091</v>
      </c>
      <c r="C717" s="1" t="s">
        <v>804</v>
      </c>
      <c r="E717" s="1" t="s">
        <v>11</v>
      </c>
      <c r="G717" s="1">
        <v>0</v>
      </c>
      <c r="H717" s="1">
        <v>52000</v>
      </c>
      <c r="I717" s="119">
        <f t="shared" si="32"/>
        <v>124000</v>
      </c>
    </row>
    <row r="718" spans="1:9" x14ac:dyDescent="0.25">
      <c r="A718" t="s">
        <v>144</v>
      </c>
      <c r="B718" s="168" t="s">
        <v>1094</v>
      </c>
      <c r="C718" s="1" t="s">
        <v>153</v>
      </c>
      <c r="D718" s="1" t="s">
        <v>1938</v>
      </c>
      <c r="E718" s="1" t="s">
        <v>11</v>
      </c>
      <c r="G718" s="1">
        <v>7</v>
      </c>
      <c r="H718" s="98">
        <v>37000</v>
      </c>
      <c r="I718" s="98">
        <f t="shared" si="32"/>
        <v>94000</v>
      </c>
    </row>
    <row r="719" spans="1:9" s="135" customFormat="1" x14ac:dyDescent="0.25">
      <c r="A719" s="135" t="s">
        <v>241</v>
      </c>
      <c r="B719" s="166" t="s">
        <v>1095</v>
      </c>
      <c r="C719" s="136" t="s">
        <v>1096</v>
      </c>
      <c r="D719" s="136" t="s">
        <v>27</v>
      </c>
      <c r="E719" s="136" t="s">
        <v>11</v>
      </c>
      <c r="F719" s="136" t="s">
        <v>1015</v>
      </c>
      <c r="G719" s="136">
        <v>1</v>
      </c>
      <c r="H719" s="137">
        <v>50000</v>
      </c>
      <c r="I719" s="137">
        <f t="shared" si="32"/>
        <v>120000</v>
      </c>
    </row>
    <row r="720" spans="1:9" s="135" customFormat="1" x14ac:dyDescent="0.25">
      <c r="A720" s="135" t="s">
        <v>241</v>
      </c>
      <c r="B720" s="166" t="s">
        <v>1095</v>
      </c>
      <c r="C720" s="136" t="s">
        <v>606</v>
      </c>
      <c r="D720" s="136" t="s">
        <v>267</v>
      </c>
      <c r="E720" s="136" t="s">
        <v>11</v>
      </c>
      <c r="G720" s="136">
        <v>1</v>
      </c>
      <c r="H720" s="136">
        <v>52000</v>
      </c>
      <c r="I720" s="137">
        <f t="shared" si="32"/>
        <v>124000</v>
      </c>
    </row>
    <row r="721" spans="1:9" x14ac:dyDescent="0.25">
      <c r="A721" t="s">
        <v>241</v>
      </c>
      <c r="B721" s="168" t="s">
        <v>1095</v>
      </c>
      <c r="C721" s="1" t="s">
        <v>377</v>
      </c>
      <c r="E721" s="1" t="s">
        <v>11</v>
      </c>
      <c r="G721" s="1">
        <v>0</v>
      </c>
      <c r="H721" s="1">
        <v>68000</v>
      </c>
      <c r="I721" s="98">
        <f t="shared" si="32"/>
        <v>156000</v>
      </c>
    </row>
    <row r="722" spans="1:9" x14ac:dyDescent="0.25">
      <c r="A722" t="s">
        <v>241</v>
      </c>
      <c r="B722" s="168" t="s">
        <v>1095</v>
      </c>
      <c r="C722" s="1" t="s">
        <v>845</v>
      </c>
      <c r="D722" s="1" t="s">
        <v>997</v>
      </c>
      <c r="E722" s="1" t="s">
        <v>13</v>
      </c>
      <c r="G722" s="1">
        <v>0</v>
      </c>
      <c r="H722" s="1">
        <v>50000</v>
      </c>
      <c r="I722" s="98">
        <f t="shared" si="32"/>
        <v>120000</v>
      </c>
    </row>
    <row r="723" spans="1:9" x14ac:dyDescent="0.25">
      <c r="A723" t="s">
        <v>241</v>
      </c>
      <c r="B723" s="168" t="s">
        <v>1097</v>
      </c>
      <c r="C723" s="1" t="s">
        <v>845</v>
      </c>
      <c r="D723" s="1" t="s">
        <v>1614</v>
      </c>
      <c r="E723" s="1" t="s">
        <v>11</v>
      </c>
      <c r="G723" s="1">
        <v>0</v>
      </c>
      <c r="H723" s="98">
        <v>55000</v>
      </c>
      <c r="I723" s="98">
        <f t="shared" si="32"/>
        <v>130000</v>
      </c>
    </row>
    <row r="724" spans="1:9" s="135" customFormat="1" x14ac:dyDescent="0.25">
      <c r="A724" s="135" t="s">
        <v>241</v>
      </c>
      <c r="B724" s="166" t="s">
        <v>1097</v>
      </c>
      <c r="C724" s="136" t="s">
        <v>1099</v>
      </c>
      <c r="D724" s="136" t="s">
        <v>628</v>
      </c>
      <c r="E724" s="136" t="s">
        <v>11</v>
      </c>
      <c r="G724" s="136">
        <v>1</v>
      </c>
      <c r="H724" s="136">
        <v>69000</v>
      </c>
      <c r="I724" s="137">
        <f t="shared" si="32"/>
        <v>158000</v>
      </c>
    </row>
    <row r="725" spans="1:9" x14ac:dyDescent="0.25">
      <c r="A725" t="s">
        <v>245</v>
      </c>
      <c r="B725" s="168" t="s">
        <v>1100</v>
      </c>
      <c r="C725" s="1" t="s">
        <v>197</v>
      </c>
      <c r="D725" s="1" t="s">
        <v>1945</v>
      </c>
      <c r="E725" s="1" t="s">
        <v>11</v>
      </c>
      <c r="F725" t="s">
        <v>1101</v>
      </c>
      <c r="G725" s="1">
        <v>0</v>
      </c>
      <c r="H725" s="98">
        <v>40000</v>
      </c>
      <c r="I725" s="98">
        <f t="shared" si="32"/>
        <v>100000</v>
      </c>
    </row>
    <row r="726" spans="1:9" x14ac:dyDescent="0.25">
      <c r="A726" t="s">
        <v>828</v>
      </c>
      <c r="B726" s="168" t="s">
        <v>1102</v>
      </c>
      <c r="C726" s="1" t="s">
        <v>210</v>
      </c>
      <c r="D726" s="1" t="s">
        <v>1945</v>
      </c>
      <c r="E726" s="1" t="s">
        <v>11</v>
      </c>
      <c r="F726" s="1" t="s">
        <v>1998</v>
      </c>
      <c r="G726" s="1">
        <v>0</v>
      </c>
      <c r="H726" s="1">
        <v>45000</v>
      </c>
      <c r="I726" s="98">
        <f t="shared" si="32"/>
        <v>110000</v>
      </c>
    </row>
    <row r="727" spans="1:9" x14ac:dyDescent="0.25">
      <c r="A727" t="s">
        <v>828</v>
      </c>
      <c r="B727" s="168" t="s">
        <v>1103</v>
      </c>
      <c r="C727" s="1" t="s">
        <v>652</v>
      </c>
      <c r="D727" s="1" t="s">
        <v>1945</v>
      </c>
      <c r="E727" s="1" t="s">
        <v>11</v>
      </c>
      <c r="G727" s="1">
        <v>0</v>
      </c>
      <c r="H727" s="1">
        <v>42000</v>
      </c>
      <c r="I727" s="98">
        <f t="shared" si="32"/>
        <v>104000</v>
      </c>
    </row>
    <row r="728" spans="1:9" x14ac:dyDescent="0.25">
      <c r="A728" t="s">
        <v>245</v>
      </c>
      <c r="B728" s="168" t="s">
        <v>1104</v>
      </c>
      <c r="C728" s="1" t="s">
        <v>54</v>
      </c>
      <c r="E728" s="1" t="s">
        <v>11</v>
      </c>
      <c r="G728" s="1">
        <v>0</v>
      </c>
      <c r="H728" s="1">
        <v>60000</v>
      </c>
      <c r="I728" s="1">
        <f t="shared" si="32"/>
        <v>140000</v>
      </c>
    </row>
    <row r="729" spans="1:9" x14ac:dyDescent="0.25">
      <c r="A729" t="s">
        <v>216</v>
      </c>
      <c r="B729" s="168" t="s">
        <v>1105</v>
      </c>
      <c r="C729" s="1" t="s">
        <v>1106</v>
      </c>
      <c r="E729" s="1" t="s">
        <v>11</v>
      </c>
      <c r="G729" s="1">
        <v>0</v>
      </c>
      <c r="I729" s="1"/>
    </row>
    <row r="730" spans="1:9" x14ac:dyDescent="0.25">
      <c r="A730" t="s">
        <v>241</v>
      </c>
      <c r="B730" s="168" t="s">
        <v>1107</v>
      </c>
      <c r="C730" s="1" t="s">
        <v>318</v>
      </c>
      <c r="E730" s="1" t="s">
        <v>1631</v>
      </c>
      <c r="F730" s="1"/>
      <c r="G730" s="1">
        <v>0</v>
      </c>
      <c r="H730" s="98">
        <v>52000</v>
      </c>
      <c r="I730" s="98">
        <f>H730*2+20000</f>
        <v>124000</v>
      </c>
    </row>
    <row r="731" spans="1:9" s="135" customFormat="1" x14ac:dyDescent="0.25">
      <c r="A731" s="135" t="s">
        <v>241</v>
      </c>
      <c r="B731" s="166" t="s">
        <v>1107</v>
      </c>
      <c r="C731" s="136" t="s">
        <v>1108</v>
      </c>
      <c r="D731" s="136" t="s">
        <v>1591</v>
      </c>
      <c r="E731" s="136" t="s">
        <v>11</v>
      </c>
      <c r="G731" s="136">
        <v>1</v>
      </c>
      <c r="H731" s="137">
        <v>50000</v>
      </c>
      <c r="I731" s="137">
        <f>H731*2+20000</f>
        <v>120000</v>
      </c>
    </row>
    <row r="732" spans="1:9" s="135" customFormat="1" x14ac:dyDescent="0.25">
      <c r="A732" s="135" t="s">
        <v>241</v>
      </c>
      <c r="B732" s="166" t="s">
        <v>1107</v>
      </c>
      <c r="C732" s="136" t="s">
        <v>1109</v>
      </c>
      <c r="D732" s="136" t="s">
        <v>2064</v>
      </c>
      <c r="E732" s="136" t="s">
        <v>13</v>
      </c>
      <c r="F732" s="135" t="s">
        <v>537</v>
      </c>
      <c r="G732" s="136">
        <v>5</v>
      </c>
      <c r="H732" s="136">
        <v>25000</v>
      </c>
      <c r="I732" s="137">
        <f>H732*2+20000</f>
        <v>70000</v>
      </c>
    </row>
    <row r="733" spans="1:9" x14ac:dyDescent="0.25">
      <c r="A733" t="s">
        <v>241</v>
      </c>
      <c r="B733" s="168" t="s">
        <v>1107</v>
      </c>
      <c r="C733" s="1" t="s">
        <v>1110</v>
      </c>
      <c r="D733" s="1" t="s">
        <v>838</v>
      </c>
      <c r="E733" s="1" t="s">
        <v>11</v>
      </c>
      <c r="G733" s="1">
        <v>0</v>
      </c>
      <c r="H733" s="98">
        <v>65000</v>
      </c>
      <c r="I733" s="98">
        <v>124000</v>
      </c>
    </row>
    <row r="734" spans="1:9" x14ac:dyDescent="0.25">
      <c r="A734" t="s">
        <v>241</v>
      </c>
      <c r="B734" s="168" t="s">
        <v>1111</v>
      </c>
      <c r="C734" s="1" t="s">
        <v>521</v>
      </c>
      <c r="D734" s="1" t="s">
        <v>126</v>
      </c>
      <c r="E734" s="1" t="s">
        <v>11</v>
      </c>
      <c r="F734" s="1"/>
      <c r="G734" s="1">
        <v>0</v>
      </c>
      <c r="H734" s="98">
        <v>49000</v>
      </c>
      <c r="I734" s="98">
        <f>H734*2+20000</f>
        <v>118000</v>
      </c>
    </row>
    <row r="735" spans="1:9" s="135" customFormat="1" x14ac:dyDescent="0.25">
      <c r="A735" s="135" t="s">
        <v>241</v>
      </c>
      <c r="B735" s="166" t="s">
        <v>1112</v>
      </c>
      <c r="C735" s="136" t="s">
        <v>1973</v>
      </c>
      <c r="D735" s="136" t="s">
        <v>1881</v>
      </c>
      <c r="E735" s="136" t="s">
        <v>13</v>
      </c>
      <c r="G735" s="136">
        <v>2</v>
      </c>
      <c r="H735" s="137">
        <v>25000</v>
      </c>
      <c r="I735" s="137">
        <f>H735*2+20000</f>
        <v>70000</v>
      </c>
    </row>
    <row r="736" spans="1:9" x14ac:dyDescent="0.25">
      <c r="A736" t="s">
        <v>1113</v>
      </c>
      <c r="B736" s="168" t="s">
        <v>1114</v>
      </c>
      <c r="C736" s="1" t="s">
        <v>1115</v>
      </c>
      <c r="E736" s="1" t="s">
        <v>11</v>
      </c>
      <c r="G736" s="1">
        <v>0</v>
      </c>
      <c r="I736" s="1"/>
    </row>
    <row r="737" spans="1:9" x14ac:dyDescent="0.25">
      <c r="A737" t="s">
        <v>172</v>
      </c>
      <c r="B737" s="168" t="s">
        <v>1116</v>
      </c>
      <c r="C737" s="1" t="s">
        <v>513</v>
      </c>
      <c r="D737" s="1" t="s">
        <v>1283</v>
      </c>
      <c r="E737" s="1" t="s">
        <v>11</v>
      </c>
      <c r="G737" s="1">
        <v>0</v>
      </c>
      <c r="H737" s="98">
        <v>65000</v>
      </c>
      <c r="I737" s="98">
        <f>H737*2+20000</f>
        <v>150000</v>
      </c>
    </row>
    <row r="738" spans="1:9" x14ac:dyDescent="0.25">
      <c r="A738" t="s">
        <v>172</v>
      </c>
      <c r="B738" s="168" t="s">
        <v>1116</v>
      </c>
      <c r="C738" s="1" t="s">
        <v>1117</v>
      </c>
      <c r="D738" s="1">
        <v>127</v>
      </c>
      <c r="E738" s="1" t="s">
        <v>11</v>
      </c>
      <c r="G738" s="1">
        <v>0</v>
      </c>
      <c r="H738" s="1">
        <v>64000</v>
      </c>
      <c r="I738" s="98">
        <f>H738*2+20000</f>
        <v>148000</v>
      </c>
    </row>
    <row r="739" spans="1:9" s="135" customFormat="1" x14ac:dyDescent="0.25">
      <c r="A739" s="135" t="s">
        <v>172</v>
      </c>
      <c r="B739" s="166" t="s">
        <v>1116</v>
      </c>
      <c r="C739" s="136" t="s">
        <v>169</v>
      </c>
      <c r="D739" s="136" t="s">
        <v>838</v>
      </c>
      <c r="E739" s="136" t="s">
        <v>11</v>
      </c>
      <c r="F739" s="136"/>
      <c r="G739" s="136">
        <v>1</v>
      </c>
      <c r="H739" s="136">
        <v>79000</v>
      </c>
      <c r="I739" s="137">
        <f>H739*2+20000</f>
        <v>178000</v>
      </c>
    </row>
    <row r="740" spans="1:9" x14ac:dyDescent="0.25">
      <c r="A740" t="s">
        <v>172</v>
      </c>
      <c r="B740" s="168" t="s">
        <v>1116</v>
      </c>
      <c r="C740" s="1" t="s">
        <v>169</v>
      </c>
      <c r="D740" s="1" t="s">
        <v>1882</v>
      </c>
      <c r="E740" s="1" t="s">
        <v>13</v>
      </c>
      <c r="F740" s="1" t="s">
        <v>1118</v>
      </c>
      <c r="G740" s="1">
        <v>0</v>
      </c>
      <c r="H740" s="1">
        <v>44000</v>
      </c>
      <c r="I740" s="1">
        <f t="shared" ref="I740:I751" si="33">H740*2+20000</f>
        <v>108000</v>
      </c>
    </row>
    <row r="741" spans="1:9" s="141" customFormat="1" x14ac:dyDescent="0.25">
      <c r="A741" s="141" t="s">
        <v>172</v>
      </c>
      <c r="B741" s="176" t="s">
        <v>1119</v>
      </c>
      <c r="C741" s="142" t="s">
        <v>519</v>
      </c>
      <c r="D741" s="142" t="s">
        <v>1882</v>
      </c>
      <c r="E741" s="142" t="s">
        <v>13</v>
      </c>
      <c r="F741" s="142" t="s">
        <v>1883</v>
      </c>
      <c r="G741" s="142">
        <v>1</v>
      </c>
      <c r="H741" s="150">
        <v>38000</v>
      </c>
      <c r="I741" s="143">
        <f t="shared" si="33"/>
        <v>96000</v>
      </c>
    </row>
    <row r="742" spans="1:9" x14ac:dyDescent="0.25">
      <c r="A742" t="s">
        <v>144</v>
      </c>
      <c r="B742" s="168" t="s">
        <v>1120</v>
      </c>
      <c r="C742" s="1" t="s">
        <v>1121</v>
      </c>
      <c r="E742" s="1" t="s">
        <v>13</v>
      </c>
      <c r="G742" s="1">
        <v>0</v>
      </c>
      <c r="H742" s="98">
        <v>30000</v>
      </c>
      <c r="I742" s="98">
        <f t="shared" si="33"/>
        <v>80000</v>
      </c>
    </row>
    <row r="743" spans="1:9" x14ac:dyDescent="0.25">
      <c r="A743" t="s">
        <v>238</v>
      </c>
      <c r="B743" s="168" t="s">
        <v>1122</v>
      </c>
      <c r="C743" s="1" t="s">
        <v>794</v>
      </c>
      <c r="E743" s="1" t="s">
        <v>11</v>
      </c>
      <c r="G743" s="1">
        <v>0</v>
      </c>
      <c r="H743" s="1">
        <v>42000</v>
      </c>
      <c r="I743" s="98">
        <f t="shared" si="33"/>
        <v>104000</v>
      </c>
    </row>
    <row r="744" spans="1:9" s="135" customFormat="1" x14ac:dyDescent="0.25">
      <c r="A744" s="135" t="s">
        <v>238</v>
      </c>
      <c r="B744" s="166" t="s">
        <v>1122</v>
      </c>
      <c r="C744" s="136" t="s">
        <v>1115</v>
      </c>
      <c r="D744" s="136" t="s">
        <v>315</v>
      </c>
      <c r="E744" s="136" t="s">
        <v>11</v>
      </c>
      <c r="F744" s="136" t="s">
        <v>875</v>
      </c>
      <c r="G744" s="136">
        <v>1</v>
      </c>
      <c r="H744" s="136">
        <v>39000</v>
      </c>
      <c r="I744" s="137">
        <f t="shared" si="33"/>
        <v>98000</v>
      </c>
    </row>
    <row r="745" spans="1:9" x14ac:dyDescent="0.25">
      <c r="A745" t="s">
        <v>1016</v>
      </c>
      <c r="B745" s="168" t="s">
        <v>1123</v>
      </c>
      <c r="C745" s="1" t="s">
        <v>1940</v>
      </c>
      <c r="D745" s="1" t="s">
        <v>1939</v>
      </c>
      <c r="E745" s="1" t="s">
        <v>11</v>
      </c>
      <c r="F745" s="1" t="s">
        <v>1937</v>
      </c>
      <c r="G745" s="1">
        <v>0</v>
      </c>
      <c r="H745" s="98">
        <v>72000</v>
      </c>
      <c r="I745" s="98">
        <f t="shared" si="33"/>
        <v>164000</v>
      </c>
    </row>
    <row r="746" spans="1:9" x14ac:dyDescent="0.25">
      <c r="A746" t="s">
        <v>39</v>
      </c>
      <c r="B746" s="168" t="s">
        <v>1124</v>
      </c>
      <c r="C746" s="1" t="s">
        <v>182</v>
      </c>
      <c r="E746" s="1" t="s">
        <v>11</v>
      </c>
      <c r="G746" s="1">
        <v>0</v>
      </c>
      <c r="H746" s="98">
        <v>44000</v>
      </c>
      <c r="I746" s="98">
        <f t="shared" si="33"/>
        <v>108000</v>
      </c>
    </row>
    <row r="747" spans="1:9" x14ac:dyDescent="0.25">
      <c r="A747" t="s">
        <v>578</v>
      </c>
      <c r="B747" s="168" t="s">
        <v>1125</v>
      </c>
      <c r="D747" s="1">
        <v>118</v>
      </c>
      <c r="E747" s="1" t="s">
        <v>11</v>
      </c>
      <c r="G747" s="1">
        <v>0</v>
      </c>
      <c r="H747" s="1">
        <v>135000</v>
      </c>
      <c r="I747" s="98">
        <f t="shared" si="33"/>
        <v>290000</v>
      </c>
    </row>
    <row r="748" spans="1:9" x14ac:dyDescent="0.25">
      <c r="A748" t="s">
        <v>578</v>
      </c>
      <c r="B748" s="168" t="s">
        <v>1125</v>
      </c>
      <c r="D748" s="1">
        <v>118</v>
      </c>
      <c r="E748" s="1" t="s">
        <v>11</v>
      </c>
      <c r="F748" t="s">
        <v>48</v>
      </c>
      <c r="G748" s="1">
        <v>0</v>
      </c>
      <c r="H748" s="1">
        <v>92000</v>
      </c>
      <c r="I748" s="2">
        <f t="shared" si="33"/>
        <v>204000</v>
      </c>
    </row>
    <row r="749" spans="1:9" x14ac:dyDescent="0.25">
      <c r="A749" t="s">
        <v>626</v>
      </c>
      <c r="B749" s="169" t="s">
        <v>1126</v>
      </c>
      <c r="D749" s="1">
        <v>106</v>
      </c>
      <c r="E749" s="1" t="s">
        <v>11</v>
      </c>
      <c r="H749" s="98">
        <v>30000</v>
      </c>
      <c r="I749" s="98">
        <f t="shared" si="33"/>
        <v>80000</v>
      </c>
    </row>
    <row r="750" spans="1:9" x14ac:dyDescent="0.25">
      <c r="A750" t="s">
        <v>245</v>
      </c>
      <c r="B750" s="168" t="s">
        <v>1127</v>
      </c>
      <c r="C750" s="1" t="s">
        <v>377</v>
      </c>
      <c r="D750" s="1" t="s">
        <v>327</v>
      </c>
      <c r="E750" s="1" t="s">
        <v>11</v>
      </c>
      <c r="H750" s="1">
        <v>99000</v>
      </c>
      <c r="I750" s="98">
        <f t="shared" si="33"/>
        <v>218000</v>
      </c>
    </row>
    <row r="751" spans="1:9" x14ac:dyDescent="0.25">
      <c r="A751" t="s">
        <v>1128</v>
      </c>
      <c r="B751" s="168" t="s">
        <v>1129</v>
      </c>
      <c r="D751" s="1">
        <v>102</v>
      </c>
      <c r="E751" s="1" t="s">
        <v>11</v>
      </c>
      <c r="H751" s="98">
        <v>35000</v>
      </c>
      <c r="I751" s="98">
        <f t="shared" si="33"/>
        <v>90000</v>
      </c>
    </row>
    <row r="752" spans="1:9" x14ac:dyDescent="0.25">
      <c r="A752" t="s">
        <v>245</v>
      </c>
      <c r="B752" s="168" t="s">
        <v>1130</v>
      </c>
      <c r="C752" s="1" t="s">
        <v>1131</v>
      </c>
      <c r="E752" s="1" t="s">
        <v>11</v>
      </c>
      <c r="F752" t="s">
        <v>1132</v>
      </c>
      <c r="G752" s="1">
        <v>0</v>
      </c>
      <c r="H752" s="98">
        <v>30000</v>
      </c>
      <c r="I752" s="98">
        <v>80000</v>
      </c>
    </row>
    <row r="753" spans="1:9" s="135" customFormat="1" x14ac:dyDescent="0.25">
      <c r="A753" s="135" t="s">
        <v>245</v>
      </c>
      <c r="B753" s="166" t="s">
        <v>1133</v>
      </c>
      <c r="C753" s="136" t="s">
        <v>1084</v>
      </c>
      <c r="D753" s="136" t="s">
        <v>1861</v>
      </c>
      <c r="E753" s="136" t="s">
        <v>13</v>
      </c>
      <c r="G753" s="136">
        <v>1</v>
      </c>
      <c r="H753" s="136">
        <v>86000</v>
      </c>
      <c r="I753" s="137">
        <f t="shared" ref="I753:I784" si="34">H753*2+20000</f>
        <v>192000</v>
      </c>
    </row>
    <row r="754" spans="1:9" x14ac:dyDescent="0.25">
      <c r="A754" t="s">
        <v>245</v>
      </c>
      <c r="B754" s="168" t="s">
        <v>1133</v>
      </c>
      <c r="C754" s="1" t="s">
        <v>431</v>
      </c>
      <c r="E754" s="1" t="s">
        <v>11</v>
      </c>
      <c r="G754" s="1">
        <v>0</v>
      </c>
      <c r="H754" s="98">
        <v>45000</v>
      </c>
      <c r="I754" s="98">
        <f t="shared" si="34"/>
        <v>110000</v>
      </c>
    </row>
    <row r="755" spans="1:9" x14ac:dyDescent="0.25">
      <c r="A755" t="s">
        <v>1134</v>
      </c>
      <c r="B755" s="168" t="s">
        <v>1135</v>
      </c>
      <c r="C755" s="1" t="s">
        <v>146</v>
      </c>
      <c r="E755" s="1" t="s">
        <v>13</v>
      </c>
      <c r="G755" s="1">
        <v>0</v>
      </c>
      <c r="I755" s="98">
        <f t="shared" si="34"/>
        <v>20000</v>
      </c>
    </row>
    <row r="756" spans="1:9" x14ac:dyDescent="0.25">
      <c r="A756" t="s">
        <v>55</v>
      </c>
      <c r="B756" s="168" t="s">
        <v>1136</v>
      </c>
      <c r="C756" s="1" t="s">
        <v>103</v>
      </c>
      <c r="D756" s="1">
        <v>114</v>
      </c>
      <c r="E756" s="1" t="s">
        <v>11</v>
      </c>
      <c r="F756" s="1"/>
      <c r="G756" s="1">
        <v>0</v>
      </c>
      <c r="H756" s="98">
        <v>67000</v>
      </c>
      <c r="I756" s="98">
        <f t="shared" si="34"/>
        <v>154000</v>
      </c>
    </row>
    <row r="757" spans="1:9" x14ac:dyDescent="0.25">
      <c r="A757" t="s">
        <v>179</v>
      </c>
      <c r="B757" s="168" t="s">
        <v>1137</v>
      </c>
      <c r="C757" s="1" t="s">
        <v>521</v>
      </c>
      <c r="D757" s="1" t="s">
        <v>589</v>
      </c>
      <c r="E757" s="1" t="s">
        <v>11</v>
      </c>
      <c r="F757" s="1" t="s">
        <v>1138</v>
      </c>
      <c r="G757" s="1">
        <v>0</v>
      </c>
      <c r="H757" s="98">
        <v>42000</v>
      </c>
      <c r="I757" s="98">
        <f>H757*2+20000</f>
        <v>104000</v>
      </c>
    </row>
    <row r="758" spans="1:9" s="135" customFormat="1" x14ac:dyDescent="0.25">
      <c r="A758" s="135" t="s">
        <v>179</v>
      </c>
      <c r="B758" s="166" t="s">
        <v>1137</v>
      </c>
      <c r="C758" s="136" t="s">
        <v>345</v>
      </c>
      <c r="D758" s="136" t="s">
        <v>589</v>
      </c>
      <c r="E758" s="136" t="s">
        <v>11</v>
      </c>
      <c r="F758" s="136" t="s">
        <v>1138</v>
      </c>
      <c r="G758" s="136">
        <v>1</v>
      </c>
      <c r="H758" s="137">
        <v>42000</v>
      </c>
      <c r="I758" s="137">
        <f>H758*2+20000</f>
        <v>104000</v>
      </c>
    </row>
    <row r="759" spans="1:9" x14ac:dyDescent="0.25">
      <c r="A759" t="s">
        <v>179</v>
      </c>
      <c r="B759" s="168" t="s">
        <v>1627</v>
      </c>
      <c r="C759" s="1" t="s">
        <v>1018</v>
      </c>
      <c r="D759" s="1" t="s">
        <v>589</v>
      </c>
      <c r="E759" s="1" t="s">
        <v>11</v>
      </c>
      <c r="F759" s="1" t="s">
        <v>1946</v>
      </c>
      <c r="G759" s="1">
        <v>0</v>
      </c>
      <c r="H759" s="1">
        <v>59000</v>
      </c>
      <c r="I759" s="98">
        <f>H759*2+20000</f>
        <v>138000</v>
      </c>
    </row>
    <row r="760" spans="1:9" x14ac:dyDescent="0.25">
      <c r="A760" t="s">
        <v>179</v>
      </c>
      <c r="B760" s="168" t="s">
        <v>1139</v>
      </c>
      <c r="C760" s="1" t="s">
        <v>54</v>
      </c>
      <c r="E760" s="1" t="s">
        <v>11</v>
      </c>
      <c r="F760" s="1" t="s">
        <v>1138</v>
      </c>
      <c r="G760" s="1">
        <v>0</v>
      </c>
      <c r="H760" s="98">
        <v>69000</v>
      </c>
      <c r="I760" s="98">
        <f>H760*2+20000</f>
        <v>158000</v>
      </c>
    </row>
    <row r="761" spans="1:9" s="135" customFormat="1" x14ac:dyDescent="0.25">
      <c r="A761" s="135" t="s">
        <v>179</v>
      </c>
      <c r="B761" s="166" t="s">
        <v>1140</v>
      </c>
      <c r="C761" s="136" t="s">
        <v>1141</v>
      </c>
      <c r="D761" s="136" t="s">
        <v>126</v>
      </c>
      <c r="E761" s="136" t="s">
        <v>11</v>
      </c>
      <c r="G761" s="136">
        <v>1</v>
      </c>
      <c r="H761" s="137">
        <v>52000</v>
      </c>
      <c r="I761" s="137">
        <f t="shared" si="34"/>
        <v>124000</v>
      </c>
    </row>
    <row r="762" spans="1:9" x14ac:dyDescent="0.25">
      <c r="A762" t="s">
        <v>179</v>
      </c>
      <c r="B762" s="168" t="s">
        <v>1140</v>
      </c>
      <c r="C762" s="1" t="s">
        <v>1000</v>
      </c>
      <c r="D762" s="1" t="s">
        <v>1958</v>
      </c>
      <c r="E762" s="1" t="s">
        <v>11</v>
      </c>
      <c r="G762" s="1">
        <v>0</v>
      </c>
      <c r="H762" s="1">
        <v>49000</v>
      </c>
      <c r="I762" s="1">
        <f t="shared" si="34"/>
        <v>118000</v>
      </c>
    </row>
    <row r="763" spans="1:9" s="135" customFormat="1" x14ac:dyDescent="0.25">
      <c r="A763" s="135" t="s">
        <v>405</v>
      </c>
      <c r="B763" s="166" t="s">
        <v>1142</v>
      </c>
      <c r="C763" s="136" t="s">
        <v>845</v>
      </c>
      <c r="D763" s="136" t="s">
        <v>316</v>
      </c>
      <c r="E763" s="136" t="s">
        <v>11</v>
      </c>
      <c r="G763" s="136">
        <v>2</v>
      </c>
      <c r="H763" s="136">
        <v>56000</v>
      </c>
      <c r="I763" s="137">
        <f t="shared" si="34"/>
        <v>132000</v>
      </c>
    </row>
    <row r="764" spans="1:9" s="135" customFormat="1" x14ac:dyDescent="0.25">
      <c r="A764" s="135" t="s">
        <v>405</v>
      </c>
      <c r="B764" s="166" t="s">
        <v>1143</v>
      </c>
      <c r="C764" s="136" t="s">
        <v>19</v>
      </c>
      <c r="D764" s="136" t="s">
        <v>240</v>
      </c>
      <c r="E764" s="136" t="s">
        <v>11</v>
      </c>
      <c r="G764" s="136">
        <v>1</v>
      </c>
      <c r="H764" s="136">
        <v>48000</v>
      </c>
      <c r="I764" s="136">
        <f t="shared" si="34"/>
        <v>116000</v>
      </c>
    </row>
    <row r="765" spans="1:9" x14ac:dyDescent="0.25">
      <c r="A765" t="s">
        <v>709</v>
      </c>
      <c r="B765" s="168" t="s">
        <v>1144</v>
      </c>
      <c r="C765" s="1" t="s">
        <v>328</v>
      </c>
      <c r="E765" s="1" t="s">
        <v>11</v>
      </c>
      <c r="G765" s="1">
        <v>0</v>
      </c>
      <c r="H765" s="1">
        <v>44000</v>
      </c>
      <c r="I765" s="119">
        <f t="shared" si="34"/>
        <v>108000</v>
      </c>
    </row>
    <row r="766" spans="1:9" x14ac:dyDescent="0.25">
      <c r="A766" t="s">
        <v>55</v>
      </c>
      <c r="B766" s="168" t="s">
        <v>1145</v>
      </c>
      <c r="C766" s="1" t="s">
        <v>1146</v>
      </c>
      <c r="D766" s="1" t="s">
        <v>711</v>
      </c>
      <c r="E766" s="1" t="s">
        <v>11</v>
      </c>
      <c r="G766" s="1">
        <v>0</v>
      </c>
      <c r="H766" s="1">
        <v>50000</v>
      </c>
      <c r="I766" s="1">
        <f t="shared" si="34"/>
        <v>120000</v>
      </c>
    </row>
    <row r="767" spans="1:9" x14ac:dyDescent="0.25">
      <c r="A767" t="s">
        <v>1147</v>
      </c>
      <c r="B767" s="168" t="s">
        <v>1589</v>
      </c>
      <c r="C767" s="1" t="s">
        <v>54</v>
      </c>
      <c r="D767" s="1" t="s">
        <v>1945</v>
      </c>
      <c r="E767" s="1" t="s">
        <v>11</v>
      </c>
      <c r="F767" t="s">
        <v>1605</v>
      </c>
      <c r="G767" s="1">
        <v>0</v>
      </c>
      <c r="H767" s="1">
        <v>52000</v>
      </c>
      <c r="I767" s="98">
        <f t="shared" si="34"/>
        <v>124000</v>
      </c>
    </row>
    <row r="768" spans="1:9" x14ac:dyDescent="0.25">
      <c r="A768" t="s">
        <v>245</v>
      </c>
      <c r="B768" s="168" t="s">
        <v>1148</v>
      </c>
      <c r="C768" s="1" t="s">
        <v>1046</v>
      </c>
      <c r="E768" s="1" t="s">
        <v>11</v>
      </c>
      <c r="F768" s="1" t="s">
        <v>1149</v>
      </c>
      <c r="G768" s="1">
        <v>0</v>
      </c>
      <c r="H768" s="1">
        <v>67000</v>
      </c>
      <c r="I768" s="98">
        <f t="shared" si="34"/>
        <v>154000</v>
      </c>
    </row>
    <row r="769" spans="1:9" x14ac:dyDescent="0.25">
      <c r="A769" t="s">
        <v>195</v>
      </c>
      <c r="B769" s="168" t="s">
        <v>1150</v>
      </c>
      <c r="C769" s="1" t="s">
        <v>472</v>
      </c>
      <c r="D769" s="1" t="s">
        <v>559</v>
      </c>
      <c r="E769" s="1" t="s">
        <v>11</v>
      </c>
      <c r="H769" s="1">
        <v>97000</v>
      </c>
      <c r="I769" s="98">
        <f t="shared" si="34"/>
        <v>214000</v>
      </c>
    </row>
    <row r="770" spans="1:9" s="135" customFormat="1" x14ac:dyDescent="0.25">
      <c r="A770" s="135" t="s">
        <v>238</v>
      </c>
      <c r="B770" s="166" t="s">
        <v>1151</v>
      </c>
      <c r="C770" s="136" t="s">
        <v>146</v>
      </c>
      <c r="D770" s="136" t="s">
        <v>1899</v>
      </c>
      <c r="E770" s="136" t="s">
        <v>11</v>
      </c>
      <c r="G770" s="136">
        <v>1</v>
      </c>
      <c r="H770" s="137">
        <v>42000</v>
      </c>
      <c r="I770" s="137">
        <f t="shared" si="34"/>
        <v>104000</v>
      </c>
    </row>
    <row r="771" spans="1:9" x14ac:dyDescent="0.25">
      <c r="A771" t="s">
        <v>238</v>
      </c>
      <c r="B771" s="168" t="s">
        <v>1151</v>
      </c>
      <c r="C771" s="1" t="s">
        <v>1152</v>
      </c>
      <c r="E771" s="1" t="s">
        <v>11</v>
      </c>
      <c r="G771" s="1">
        <v>0</v>
      </c>
      <c r="H771" s="98">
        <v>44000</v>
      </c>
      <c r="I771" s="98">
        <f t="shared" si="34"/>
        <v>108000</v>
      </c>
    </row>
    <row r="772" spans="1:9" x14ac:dyDescent="0.25">
      <c r="A772" t="s">
        <v>238</v>
      </c>
      <c r="B772" s="168" t="s">
        <v>1151</v>
      </c>
      <c r="C772" s="1" t="s">
        <v>663</v>
      </c>
      <c r="E772" s="1" t="s">
        <v>13</v>
      </c>
      <c r="G772" s="1">
        <v>0</v>
      </c>
      <c r="H772" s="98">
        <v>30000</v>
      </c>
      <c r="I772" s="98">
        <f t="shared" si="34"/>
        <v>80000</v>
      </c>
    </row>
    <row r="773" spans="1:9" x14ac:dyDescent="0.25">
      <c r="A773" t="s">
        <v>62</v>
      </c>
      <c r="B773" s="168" t="s">
        <v>1153</v>
      </c>
      <c r="C773" s="1" t="s">
        <v>1154</v>
      </c>
      <c r="D773" s="1" t="s">
        <v>27</v>
      </c>
      <c r="E773" s="1" t="s">
        <v>11</v>
      </c>
      <c r="G773" s="1">
        <v>0</v>
      </c>
      <c r="H773" s="98">
        <v>35000</v>
      </c>
      <c r="I773" s="98">
        <f t="shared" si="34"/>
        <v>90000</v>
      </c>
    </row>
    <row r="774" spans="1:9" s="135" customFormat="1" x14ac:dyDescent="0.25">
      <c r="A774" s="135" t="s">
        <v>62</v>
      </c>
      <c r="B774" s="166" t="s">
        <v>1153</v>
      </c>
      <c r="C774" s="136">
        <v>2001</v>
      </c>
      <c r="D774" s="136" t="s">
        <v>442</v>
      </c>
      <c r="E774" s="136" t="s">
        <v>13</v>
      </c>
      <c r="F774" s="135" t="s">
        <v>1820</v>
      </c>
      <c r="G774" s="136">
        <v>1</v>
      </c>
      <c r="H774" s="137">
        <v>25000</v>
      </c>
      <c r="I774" s="137">
        <f t="shared" si="34"/>
        <v>70000</v>
      </c>
    </row>
    <row r="775" spans="1:9" x14ac:dyDescent="0.25">
      <c r="A775" t="s">
        <v>144</v>
      </c>
      <c r="B775" s="168" t="s">
        <v>1155</v>
      </c>
      <c r="C775" s="1" t="s">
        <v>182</v>
      </c>
      <c r="D775" s="1" t="s">
        <v>1156</v>
      </c>
      <c r="E775" s="1" t="s">
        <v>11</v>
      </c>
      <c r="G775" s="1">
        <v>0</v>
      </c>
      <c r="H775" s="1">
        <v>40000</v>
      </c>
      <c r="I775" s="98">
        <f t="shared" si="34"/>
        <v>100000</v>
      </c>
    </row>
    <row r="776" spans="1:9" s="135" customFormat="1" x14ac:dyDescent="0.25">
      <c r="A776" s="135" t="s">
        <v>234</v>
      </c>
      <c r="B776" s="166" t="s">
        <v>1157</v>
      </c>
      <c r="C776" s="136" t="s">
        <v>103</v>
      </c>
      <c r="D776" s="136" t="s">
        <v>178</v>
      </c>
      <c r="E776" s="136" t="s">
        <v>11</v>
      </c>
      <c r="G776" s="136">
        <v>1</v>
      </c>
      <c r="H776" s="137">
        <v>47000</v>
      </c>
      <c r="I776" s="137">
        <f t="shared" si="34"/>
        <v>114000</v>
      </c>
    </row>
    <row r="777" spans="1:9" x14ac:dyDescent="0.25">
      <c r="A777" t="s">
        <v>1158</v>
      </c>
      <c r="B777" s="168" t="s">
        <v>1159</v>
      </c>
      <c r="C777" s="1" t="s">
        <v>119</v>
      </c>
      <c r="E777" s="1" t="s">
        <v>11</v>
      </c>
      <c r="G777" s="1">
        <v>0</v>
      </c>
      <c r="H777" s="1">
        <v>50000</v>
      </c>
      <c r="I777" s="1">
        <f t="shared" si="34"/>
        <v>120000</v>
      </c>
    </row>
    <row r="778" spans="1:9" s="135" customFormat="1" x14ac:dyDescent="0.25">
      <c r="A778" s="135" t="s">
        <v>60</v>
      </c>
      <c r="B778" s="166" t="s">
        <v>1160</v>
      </c>
      <c r="C778" s="136"/>
      <c r="D778" s="136" t="s">
        <v>2028</v>
      </c>
      <c r="E778" s="136" t="s">
        <v>11</v>
      </c>
      <c r="G778" s="136">
        <v>3</v>
      </c>
      <c r="H778" s="137">
        <v>35000</v>
      </c>
      <c r="I778" s="137">
        <f t="shared" si="34"/>
        <v>90000</v>
      </c>
    </row>
    <row r="779" spans="1:9" x14ac:dyDescent="0.25">
      <c r="A779" t="s">
        <v>1161</v>
      </c>
      <c r="B779" s="168" t="s">
        <v>1162</v>
      </c>
      <c r="C779" s="1" t="s">
        <v>233</v>
      </c>
      <c r="E779" s="1" t="s">
        <v>11</v>
      </c>
      <c r="G779" s="1">
        <v>0</v>
      </c>
      <c r="H779" s="1">
        <v>117000</v>
      </c>
      <c r="I779" s="98">
        <f t="shared" si="34"/>
        <v>254000</v>
      </c>
    </row>
    <row r="780" spans="1:9" x14ac:dyDescent="0.25">
      <c r="A780" t="s">
        <v>1163</v>
      </c>
      <c r="B780" s="168" t="s">
        <v>1164</v>
      </c>
      <c r="C780" s="1" t="s">
        <v>233</v>
      </c>
      <c r="E780" s="1" t="s">
        <v>11</v>
      </c>
      <c r="G780" s="1">
        <v>0</v>
      </c>
      <c r="H780" s="1">
        <v>95000</v>
      </c>
      <c r="I780" s="1">
        <f t="shared" si="34"/>
        <v>210000</v>
      </c>
    </row>
    <row r="781" spans="1:9" x14ac:dyDescent="0.25">
      <c r="A781" t="s">
        <v>1165</v>
      </c>
      <c r="B781" s="168" t="s">
        <v>1166</v>
      </c>
      <c r="D781" s="1" t="s">
        <v>1892</v>
      </c>
      <c r="E781" s="1" t="s">
        <v>11</v>
      </c>
      <c r="G781" s="1">
        <v>1</v>
      </c>
      <c r="H781" s="98">
        <v>45000</v>
      </c>
      <c r="I781" s="98">
        <f t="shared" si="34"/>
        <v>110000</v>
      </c>
    </row>
    <row r="782" spans="1:9" x14ac:dyDescent="0.25">
      <c r="A782" t="s">
        <v>1165</v>
      </c>
      <c r="B782" s="168" t="s">
        <v>1167</v>
      </c>
      <c r="D782" s="1" t="s">
        <v>1892</v>
      </c>
      <c r="E782" s="1" t="s">
        <v>11</v>
      </c>
      <c r="G782" s="1">
        <v>1</v>
      </c>
      <c r="H782" s="98">
        <v>45000</v>
      </c>
      <c r="I782" s="98">
        <f t="shared" si="34"/>
        <v>110000</v>
      </c>
    </row>
    <row r="783" spans="1:9" s="135" customFormat="1" x14ac:dyDescent="0.25">
      <c r="A783" s="135" t="s">
        <v>483</v>
      </c>
      <c r="B783" s="166" t="s">
        <v>1168</v>
      </c>
      <c r="C783" s="136" t="s">
        <v>967</v>
      </c>
      <c r="D783" s="136" t="s">
        <v>315</v>
      </c>
      <c r="E783" s="136" t="s">
        <v>11</v>
      </c>
      <c r="G783" s="136">
        <v>1</v>
      </c>
      <c r="H783" s="136">
        <v>50000</v>
      </c>
      <c r="I783" s="137">
        <f t="shared" si="34"/>
        <v>120000</v>
      </c>
    </row>
    <row r="784" spans="1:9" x14ac:dyDescent="0.25">
      <c r="A784" t="s">
        <v>211</v>
      </c>
      <c r="B784" s="168" t="s">
        <v>1169</v>
      </c>
      <c r="C784" s="1" t="s">
        <v>119</v>
      </c>
      <c r="E784" s="1" t="s">
        <v>11</v>
      </c>
      <c r="G784" s="1">
        <v>0</v>
      </c>
      <c r="H784" s="1">
        <v>90000</v>
      </c>
      <c r="I784" s="98">
        <f t="shared" si="34"/>
        <v>200000</v>
      </c>
    </row>
    <row r="785" spans="1:9" x14ac:dyDescent="0.25">
      <c r="A785" t="s">
        <v>1170</v>
      </c>
      <c r="B785" s="168" t="s">
        <v>1171</v>
      </c>
      <c r="C785" s="1" t="s">
        <v>1172</v>
      </c>
      <c r="E785" s="1" t="s">
        <v>11</v>
      </c>
      <c r="G785" s="1">
        <v>0</v>
      </c>
      <c r="H785" s="1">
        <v>43700</v>
      </c>
      <c r="I785" s="98">
        <f t="shared" ref="I785:I805" si="35">H785*2+20000</f>
        <v>107400</v>
      </c>
    </row>
    <row r="786" spans="1:9" x14ac:dyDescent="0.25">
      <c r="A786" t="s">
        <v>195</v>
      </c>
      <c r="B786" s="168" t="s">
        <v>1173</v>
      </c>
      <c r="C786" s="1" t="s">
        <v>141</v>
      </c>
      <c r="E786" s="1" t="s">
        <v>11</v>
      </c>
      <c r="G786" s="1">
        <v>0</v>
      </c>
      <c r="H786" s="98">
        <v>60100</v>
      </c>
      <c r="I786" s="1">
        <f t="shared" si="35"/>
        <v>140200</v>
      </c>
    </row>
    <row r="787" spans="1:9" x14ac:dyDescent="0.25">
      <c r="A787" t="s">
        <v>60</v>
      </c>
      <c r="B787" s="168" t="s">
        <v>1174</v>
      </c>
      <c r="C787" s="1" t="s">
        <v>10</v>
      </c>
      <c r="D787" s="1" t="s">
        <v>1098</v>
      </c>
      <c r="E787" s="1" t="s">
        <v>11</v>
      </c>
      <c r="F787" s="1"/>
      <c r="G787" s="1">
        <v>0</v>
      </c>
      <c r="H787" s="98">
        <v>45000</v>
      </c>
      <c r="I787" s="98">
        <f t="shared" si="35"/>
        <v>110000</v>
      </c>
    </row>
    <row r="788" spans="1:9" x14ac:dyDescent="0.25">
      <c r="A788" t="s">
        <v>195</v>
      </c>
      <c r="B788" s="168" t="s">
        <v>1175</v>
      </c>
      <c r="C788" s="1" t="s">
        <v>122</v>
      </c>
      <c r="E788" s="1" t="s">
        <v>11</v>
      </c>
      <c r="H788" s="1">
        <v>90000</v>
      </c>
      <c r="I788" s="98">
        <f t="shared" si="35"/>
        <v>200000</v>
      </c>
    </row>
    <row r="789" spans="1:9" x14ac:dyDescent="0.25">
      <c r="A789" t="s">
        <v>508</v>
      </c>
      <c r="B789" s="168" t="s">
        <v>1176</v>
      </c>
      <c r="C789" s="1" t="s">
        <v>921</v>
      </c>
      <c r="E789" s="1" t="s">
        <v>11</v>
      </c>
      <c r="G789" s="1">
        <v>0</v>
      </c>
      <c r="H789" s="98">
        <v>35000</v>
      </c>
      <c r="I789" s="98">
        <f t="shared" si="35"/>
        <v>90000</v>
      </c>
    </row>
    <row r="790" spans="1:9" x14ac:dyDescent="0.25">
      <c r="A790" t="s">
        <v>238</v>
      </c>
      <c r="B790" s="168" t="s">
        <v>1177</v>
      </c>
      <c r="C790" s="1">
        <v>1992</v>
      </c>
      <c r="D790" s="1" t="s">
        <v>1887</v>
      </c>
      <c r="E790" s="1" t="s">
        <v>11</v>
      </c>
      <c r="G790" s="1">
        <v>1</v>
      </c>
      <c r="H790" s="98">
        <v>30000</v>
      </c>
      <c r="I790" s="98">
        <f t="shared" si="35"/>
        <v>80000</v>
      </c>
    </row>
    <row r="791" spans="1:9" x14ac:dyDescent="0.25">
      <c r="A791" t="s">
        <v>238</v>
      </c>
      <c r="B791" s="168" t="s">
        <v>1819</v>
      </c>
      <c r="C791" s="1" t="s">
        <v>1818</v>
      </c>
      <c r="D791" s="1" t="s">
        <v>997</v>
      </c>
      <c r="E791" s="1" t="s">
        <v>13</v>
      </c>
      <c r="F791" s="1" t="s">
        <v>250</v>
      </c>
      <c r="G791" s="1">
        <v>0</v>
      </c>
      <c r="H791" s="98">
        <v>44000</v>
      </c>
      <c r="I791" s="98">
        <f t="shared" si="35"/>
        <v>108000</v>
      </c>
    </row>
    <row r="792" spans="1:9" s="135" customFormat="1" x14ac:dyDescent="0.25">
      <c r="A792" s="135" t="s">
        <v>245</v>
      </c>
      <c r="B792" s="166" t="s">
        <v>1179</v>
      </c>
      <c r="C792" s="136" t="s">
        <v>332</v>
      </c>
      <c r="D792" s="136" t="s">
        <v>38</v>
      </c>
      <c r="E792" s="136" t="s">
        <v>11</v>
      </c>
      <c r="G792" s="136">
        <v>1</v>
      </c>
      <c r="H792" s="137">
        <v>59000</v>
      </c>
      <c r="I792" s="137">
        <f t="shared" si="35"/>
        <v>138000</v>
      </c>
    </row>
    <row r="793" spans="1:9" x14ac:dyDescent="0.25">
      <c r="A793" t="s">
        <v>245</v>
      </c>
      <c r="B793" s="168" t="s">
        <v>1180</v>
      </c>
      <c r="E793" s="1" t="s">
        <v>13</v>
      </c>
      <c r="G793" s="1">
        <v>0</v>
      </c>
      <c r="H793" s="1">
        <v>30000</v>
      </c>
      <c r="I793" s="98">
        <f t="shared" si="35"/>
        <v>80000</v>
      </c>
    </row>
    <row r="794" spans="1:9" s="135" customFormat="1" x14ac:dyDescent="0.25">
      <c r="A794" s="135" t="s">
        <v>245</v>
      </c>
      <c r="B794" s="166" t="s">
        <v>1598</v>
      </c>
      <c r="C794" s="136" t="s">
        <v>328</v>
      </c>
      <c r="D794" s="136" t="s">
        <v>978</v>
      </c>
      <c r="E794" s="136" t="s">
        <v>11</v>
      </c>
      <c r="F794" s="136" t="s">
        <v>1957</v>
      </c>
      <c r="G794" s="136">
        <v>1</v>
      </c>
      <c r="H794" s="136">
        <v>85000</v>
      </c>
      <c r="I794" s="137">
        <f t="shared" si="35"/>
        <v>190000</v>
      </c>
    </row>
    <row r="795" spans="1:9" x14ac:dyDescent="0.25">
      <c r="A795" t="s">
        <v>183</v>
      </c>
      <c r="B795" s="168" t="s">
        <v>1181</v>
      </c>
      <c r="C795" s="1" t="s">
        <v>29</v>
      </c>
      <c r="D795" s="1" t="s">
        <v>1892</v>
      </c>
      <c r="E795" s="1" t="s">
        <v>11</v>
      </c>
      <c r="G795" s="1">
        <v>1</v>
      </c>
      <c r="H795" s="1">
        <v>94000</v>
      </c>
      <c r="I795" s="98">
        <f t="shared" si="35"/>
        <v>208000</v>
      </c>
    </row>
    <row r="796" spans="1:9" x14ac:dyDescent="0.25">
      <c r="A796" t="s">
        <v>195</v>
      </c>
      <c r="B796" s="168" t="s">
        <v>1182</v>
      </c>
      <c r="C796" s="1" t="s">
        <v>10</v>
      </c>
      <c r="E796" s="1" t="s">
        <v>13</v>
      </c>
      <c r="H796" s="1">
        <v>40000</v>
      </c>
      <c r="I796" s="98">
        <f t="shared" si="35"/>
        <v>100000</v>
      </c>
    </row>
    <row r="797" spans="1:9" x14ac:dyDescent="0.25">
      <c r="A797" t="s">
        <v>245</v>
      </c>
      <c r="B797" s="168" t="s">
        <v>1183</v>
      </c>
      <c r="C797" s="1" t="s">
        <v>1184</v>
      </c>
      <c r="D797" s="1" t="s">
        <v>114</v>
      </c>
      <c r="E797" s="1" t="s">
        <v>11</v>
      </c>
      <c r="G797" s="1">
        <v>0</v>
      </c>
      <c r="H797" s="1">
        <v>33000</v>
      </c>
      <c r="I797" s="1">
        <f t="shared" si="35"/>
        <v>86000</v>
      </c>
    </row>
    <row r="798" spans="1:9" x14ac:dyDescent="0.25">
      <c r="A798" t="s">
        <v>172</v>
      </c>
      <c r="B798" s="168" t="s">
        <v>1185</v>
      </c>
      <c r="D798" s="1" t="s">
        <v>1892</v>
      </c>
      <c r="E798" s="1" t="s">
        <v>11</v>
      </c>
      <c r="G798" s="1">
        <v>1</v>
      </c>
      <c r="H798" s="98">
        <v>55000</v>
      </c>
      <c r="I798" s="98">
        <f t="shared" si="35"/>
        <v>130000</v>
      </c>
    </row>
    <row r="799" spans="1:9" x14ac:dyDescent="0.25">
      <c r="A799" t="s">
        <v>132</v>
      </c>
      <c r="B799" s="168" t="s">
        <v>1186</v>
      </c>
      <c r="C799" s="1" t="s">
        <v>59</v>
      </c>
      <c r="E799" s="1" t="s">
        <v>11</v>
      </c>
      <c r="G799" s="1">
        <v>0</v>
      </c>
      <c r="H799" s="1">
        <v>95000</v>
      </c>
      <c r="I799" s="98">
        <f t="shared" si="35"/>
        <v>210000</v>
      </c>
    </row>
    <row r="800" spans="1:9" x14ac:dyDescent="0.25">
      <c r="A800" t="s">
        <v>144</v>
      </c>
      <c r="B800" s="168" t="s">
        <v>1187</v>
      </c>
      <c r="C800" s="1" t="s">
        <v>521</v>
      </c>
      <c r="D800" s="1" t="s">
        <v>1591</v>
      </c>
      <c r="E800" s="1" t="s">
        <v>11</v>
      </c>
      <c r="G800" s="1">
        <v>0</v>
      </c>
      <c r="H800" s="1">
        <v>46000</v>
      </c>
      <c r="I800" s="98">
        <f t="shared" si="35"/>
        <v>112000</v>
      </c>
    </row>
    <row r="801" spans="1:9" x14ac:dyDescent="0.25">
      <c r="A801" t="s">
        <v>144</v>
      </c>
      <c r="B801" s="168" t="s">
        <v>1187</v>
      </c>
      <c r="C801" s="1" t="s">
        <v>931</v>
      </c>
      <c r="D801" s="1" t="s">
        <v>1188</v>
      </c>
      <c r="E801" s="1" t="s">
        <v>11</v>
      </c>
      <c r="G801" s="1">
        <v>0</v>
      </c>
      <c r="H801" s="98">
        <v>62000</v>
      </c>
      <c r="I801" s="98">
        <f t="shared" si="35"/>
        <v>144000</v>
      </c>
    </row>
    <row r="802" spans="1:9" x14ac:dyDescent="0.25">
      <c r="A802" t="s">
        <v>144</v>
      </c>
      <c r="B802" s="168" t="s">
        <v>1187</v>
      </c>
      <c r="C802" s="1">
        <v>2021</v>
      </c>
      <c r="E802" s="1" t="s">
        <v>11</v>
      </c>
      <c r="G802" s="1">
        <v>0</v>
      </c>
      <c r="H802" s="1">
        <v>110000</v>
      </c>
      <c r="I802" s="98">
        <f t="shared" si="35"/>
        <v>240000</v>
      </c>
    </row>
    <row r="803" spans="1:9" s="135" customFormat="1" x14ac:dyDescent="0.25">
      <c r="A803" s="135" t="s">
        <v>144</v>
      </c>
      <c r="B803" s="166" t="s">
        <v>1871</v>
      </c>
      <c r="C803" s="136" t="s">
        <v>249</v>
      </c>
      <c r="D803" s="136" t="s">
        <v>2055</v>
      </c>
      <c r="E803" s="136" t="s">
        <v>13</v>
      </c>
      <c r="F803" s="136" t="s">
        <v>1189</v>
      </c>
      <c r="G803" s="136">
        <v>7</v>
      </c>
      <c r="H803" s="137">
        <v>30000</v>
      </c>
      <c r="I803" s="137">
        <f t="shared" si="35"/>
        <v>80000</v>
      </c>
    </row>
    <row r="804" spans="1:9" x14ac:dyDescent="0.25">
      <c r="A804" t="s">
        <v>1190</v>
      </c>
      <c r="B804" s="168" t="s">
        <v>1191</v>
      </c>
      <c r="D804" s="1" t="s">
        <v>1892</v>
      </c>
      <c r="E804" s="1" t="s">
        <v>11</v>
      </c>
      <c r="G804" s="1">
        <v>1</v>
      </c>
      <c r="I804" s="98">
        <f t="shared" si="35"/>
        <v>20000</v>
      </c>
    </row>
    <row r="805" spans="1:9" x14ac:dyDescent="0.25">
      <c r="A805" t="s">
        <v>238</v>
      </c>
      <c r="B805" s="168" t="s">
        <v>1192</v>
      </c>
      <c r="C805" s="1" t="s">
        <v>1193</v>
      </c>
      <c r="E805" s="1" t="s">
        <v>11</v>
      </c>
      <c r="G805" s="1">
        <v>0</v>
      </c>
      <c r="H805" s="1">
        <v>71000</v>
      </c>
      <c r="I805" s="2">
        <f t="shared" si="35"/>
        <v>162000</v>
      </c>
    </row>
    <row r="806" spans="1:9" x14ac:dyDescent="0.25">
      <c r="A806" t="s">
        <v>494</v>
      </c>
      <c r="B806" s="168" t="s">
        <v>1194</v>
      </c>
      <c r="D806" s="1">
        <v>104</v>
      </c>
      <c r="E806" s="1" t="s">
        <v>11</v>
      </c>
      <c r="G806" s="1">
        <v>3</v>
      </c>
    </row>
    <row r="807" spans="1:9" s="135" customFormat="1" x14ac:dyDescent="0.25">
      <c r="A807" s="135" t="s">
        <v>39</v>
      </c>
      <c r="B807" s="166" t="s">
        <v>1195</v>
      </c>
      <c r="C807" s="136" t="s">
        <v>428</v>
      </c>
      <c r="D807" s="136" t="s">
        <v>2053</v>
      </c>
      <c r="E807" s="136" t="s">
        <v>13</v>
      </c>
      <c r="G807" s="136">
        <v>1</v>
      </c>
      <c r="H807" s="137">
        <v>30000</v>
      </c>
      <c r="I807" s="137">
        <f t="shared" ref="I807:I815" si="36">H807*2+20000</f>
        <v>80000</v>
      </c>
    </row>
    <row r="808" spans="1:9" s="135" customFormat="1" x14ac:dyDescent="0.25">
      <c r="A808" s="135" t="s">
        <v>39</v>
      </c>
      <c r="B808" s="166" t="s">
        <v>1195</v>
      </c>
      <c r="C808" s="136" t="s">
        <v>782</v>
      </c>
      <c r="D808" s="136" t="s">
        <v>2001</v>
      </c>
      <c r="E808" s="136" t="s">
        <v>13</v>
      </c>
      <c r="F808" s="135" t="s">
        <v>1816</v>
      </c>
      <c r="G808" s="136">
        <v>1</v>
      </c>
      <c r="H808" s="136">
        <v>50000</v>
      </c>
      <c r="I808" s="136">
        <f t="shared" si="36"/>
        <v>120000</v>
      </c>
    </row>
    <row r="809" spans="1:9" x14ac:dyDescent="0.25">
      <c r="A809" t="s">
        <v>39</v>
      </c>
      <c r="B809" s="168" t="s">
        <v>1196</v>
      </c>
      <c r="C809" s="1" t="s">
        <v>1959</v>
      </c>
      <c r="D809" s="1" t="s">
        <v>682</v>
      </c>
      <c r="E809" s="1" t="s">
        <v>11</v>
      </c>
      <c r="G809" s="1">
        <v>0</v>
      </c>
      <c r="H809" s="98">
        <v>35000</v>
      </c>
      <c r="I809" s="98">
        <f t="shared" si="36"/>
        <v>90000</v>
      </c>
    </row>
    <row r="810" spans="1:9" s="135" customFormat="1" x14ac:dyDescent="0.25">
      <c r="A810" s="135" t="s">
        <v>39</v>
      </c>
      <c r="B810" s="166" t="s">
        <v>1197</v>
      </c>
      <c r="C810" s="136" t="s">
        <v>94</v>
      </c>
      <c r="D810" s="136" t="s">
        <v>133</v>
      </c>
      <c r="E810" s="136" t="s">
        <v>11</v>
      </c>
      <c r="G810" s="136">
        <v>0</v>
      </c>
      <c r="H810" s="137">
        <v>47000</v>
      </c>
      <c r="I810" s="137">
        <f t="shared" si="36"/>
        <v>114000</v>
      </c>
    </row>
    <row r="811" spans="1:9" x14ac:dyDescent="0.25">
      <c r="A811" t="s">
        <v>245</v>
      </c>
      <c r="B811" s="168" t="s">
        <v>1198</v>
      </c>
      <c r="C811" s="1">
        <v>2005</v>
      </c>
      <c r="E811" s="1" t="s">
        <v>11</v>
      </c>
      <c r="G811" s="1">
        <v>0</v>
      </c>
      <c r="H811" s="1">
        <v>65000</v>
      </c>
      <c r="I811" s="1">
        <f t="shared" si="36"/>
        <v>150000</v>
      </c>
    </row>
    <row r="812" spans="1:9" x14ac:dyDescent="0.25">
      <c r="A812" t="s">
        <v>55</v>
      </c>
      <c r="B812" s="168" t="s">
        <v>1199</v>
      </c>
      <c r="C812" s="1">
        <v>2019</v>
      </c>
      <c r="D812" s="1">
        <v>116</v>
      </c>
      <c r="E812" s="1" t="s">
        <v>11</v>
      </c>
      <c r="F812" s="1"/>
      <c r="G812" s="1">
        <v>0</v>
      </c>
      <c r="H812" s="1">
        <v>71000</v>
      </c>
      <c r="I812" s="98">
        <f t="shared" si="36"/>
        <v>162000</v>
      </c>
    </row>
    <row r="813" spans="1:9" s="135" customFormat="1" x14ac:dyDescent="0.25">
      <c r="A813" s="135" t="s">
        <v>200</v>
      </c>
      <c r="B813" s="166" t="s">
        <v>1200</v>
      </c>
      <c r="C813" s="136" t="s">
        <v>1201</v>
      </c>
      <c r="D813" s="136" t="s">
        <v>1949</v>
      </c>
      <c r="E813" s="136" t="s">
        <v>11</v>
      </c>
      <c r="F813" s="135" t="s">
        <v>537</v>
      </c>
      <c r="G813" s="136">
        <v>2</v>
      </c>
      <c r="H813" s="137">
        <v>48000</v>
      </c>
      <c r="I813" s="137">
        <f t="shared" si="36"/>
        <v>116000</v>
      </c>
    </row>
    <row r="814" spans="1:9" s="135" customFormat="1" x14ac:dyDescent="0.25">
      <c r="A814" s="135" t="s">
        <v>2047</v>
      </c>
      <c r="B814" s="166" t="s">
        <v>1202</v>
      </c>
      <c r="C814" s="136">
        <v>2015</v>
      </c>
      <c r="D814" s="136" t="s">
        <v>353</v>
      </c>
      <c r="E814" s="136" t="s">
        <v>13</v>
      </c>
      <c r="G814" s="136">
        <v>2</v>
      </c>
      <c r="H814" s="136">
        <v>25000</v>
      </c>
      <c r="I814" s="136">
        <f t="shared" si="36"/>
        <v>70000</v>
      </c>
    </row>
    <row r="815" spans="1:9" x14ac:dyDescent="0.25">
      <c r="A815" t="s">
        <v>1147</v>
      </c>
      <c r="B815" s="168" t="s">
        <v>1203</v>
      </c>
      <c r="C815" s="1" t="s">
        <v>176</v>
      </c>
      <c r="E815" s="1" t="s">
        <v>11</v>
      </c>
      <c r="G815" s="1">
        <v>0</v>
      </c>
      <c r="H815" s="98">
        <v>60000</v>
      </c>
      <c r="I815" s="98">
        <f t="shared" si="36"/>
        <v>140000</v>
      </c>
    </row>
    <row r="816" spans="1:9" x14ac:dyDescent="0.25">
      <c r="A816" t="s">
        <v>1147</v>
      </c>
      <c r="B816" s="168" t="s">
        <v>1203</v>
      </c>
      <c r="C816" s="1" t="s">
        <v>94</v>
      </c>
      <c r="D816" s="1" t="s">
        <v>1884</v>
      </c>
      <c r="E816" s="1" t="s">
        <v>13</v>
      </c>
      <c r="F816" s="1" t="s">
        <v>1204</v>
      </c>
      <c r="G816" s="1">
        <v>1</v>
      </c>
      <c r="H816" s="1" t="s">
        <v>1205</v>
      </c>
    </row>
    <row r="817" spans="1:9" s="135" customFormat="1" x14ac:dyDescent="0.25">
      <c r="A817" s="135" t="s">
        <v>245</v>
      </c>
      <c r="B817" s="166" t="s">
        <v>1206</v>
      </c>
      <c r="C817" s="136" t="s">
        <v>1207</v>
      </c>
      <c r="D817" s="136" t="s">
        <v>178</v>
      </c>
      <c r="E817" s="136" t="s">
        <v>11</v>
      </c>
      <c r="G817" s="136">
        <v>1</v>
      </c>
      <c r="H817" s="137">
        <v>32000</v>
      </c>
      <c r="I817" s="137">
        <f t="shared" ref="I817:I857" si="37">H817*2+20000</f>
        <v>84000</v>
      </c>
    </row>
    <row r="818" spans="1:9" s="135" customFormat="1" x14ac:dyDescent="0.25">
      <c r="A818" s="135" t="s">
        <v>245</v>
      </c>
      <c r="B818" s="166" t="s">
        <v>1208</v>
      </c>
      <c r="C818" s="136" t="s">
        <v>569</v>
      </c>
      <c r="D818" s="136" t="s">
        <v>1879</v>
      </c>
      <c r="E818" s="136" t="s">
        <v>13</v>
      </c>
      <c r="G818" s="136">
        <v>1</v>
      </c>
      <c r="H818" s="137">
        <v>35000</v>
      </c>
      <c r="I818" s="137">
        <f t="shared" si="37"/>
        <v>90000</v>
      </c>
    </row>
    <row r="819" spans="1:9" s="135" customFormat="1" x14ac:dyDescent="0.25">
      <c r="A819" s="135" t="s">
        <v>1209</v>
      </c>
      <c r="B819" s="166" t="s">
        <v>1210</v>
      </c>
      <c r="C819" s="136" t="s">
        <v>1211</v>
      </c>
      <c r="D819" s="136" t="s">
        <v>1875</v>
      </c>
      <c r="E819" s="136" t="s">
        <v>11</v>
      </c>
      <c r="G819" s="136">
        <v>31</v>
      </c>
      <c r="H819" s="137">
        <v>35000</v>
      </c>
      <c r="I819" s="137">
        <f t="shared" si="37"/>
        <v>90000</v>
      </c>
    </row>
    <row r="820" spans="1:9" s="135" customFormat="1" x14ac:dyDescent="0.25">
      <c r="A820" s="135" t="s">
        <v>60</v>
      </c>
      <c r="B820" s="166" t="s">
        <v>1212</v>
      </c>
      <c r="C820" s="136" t="s">
        <v>1213</v>
      </c>
      <c r="D820" s="136" t="s">
        <v>628</v>
      </c>
      <c r="E820" s="136" t="s">
        <v>11</v>
      </c>
      <c r="G820" s="136">
        <v>1</v>
      </c>
      <c r="H820" s="137">
        <v>50000</v>
      </c>
      <c r="I820" s="137">
        <f t="shared" si="37"/>
        <v>120000</v>
      </c>
    </row>
    <row r="821" spans="1:9" x14ac:dyDescent="0.25">
      <c r="A821" t="s">
        <v>60</v>
      </c>
      <c r="B821" s="168" t="s">
        <v>1212</v>
      </c>
      <c r="C821" s="1" t="s">
        <v>863</v>
      </c>
      <c r="E821" s="1" t="s">
        <v>11</v>
      </c>
      <c r="G821" s="1">
        <v>0</v>
      </c>
      <c r="H821" s="1">
        <v>98000</v>
      </c>
      <c r="I821" s="1">
        <f t="shared" si="37"/>
        <v>216000</v>
      </c>
    </row>
    <row r="822" spans="1:9" x14ac:dyDescent="0.25">
      <c r="A822" t="s">
        <v>202</v>
      </c>
      <c r="B822" s="168" t="s">
        <v>1214</v>
      </c>
      <c r="C822" s="1" t="s">
        <v>1207</v>
      </c>
      <c r="D822" s="1" t="s">
        <v>1892</v>
      </c>
      <c r="E822" s="1" t="s">
        <v>11</v>
      </c>
      <c r="G822" s="1">
        <v>1</v>
      </c>
      <c r="H822" s="98">
        <v>55000</v>
      </c>
      <c r="I822" s="98">
        <f t="shared" si="37"/>
        <v>130000</v>
      </c>
    </row>
    <row r="823" spans="1:9" x14ac:dyDescent="0.25">
      <c r="A823" t="s">
        <v>354</v>
      </c>
      <c r="B823" s="168" t="s">
        <v>1215</v>
      </c>
      <c r="C823" s="1" t="s">
        <v>1216</v>
      </c>
      <c r="E823" s="1" t="s">
        <v>11</v>
      </c>
      <c r="F823" t="s">
        <v>1584</v>
      </c>
      <c r="G823" s="1">
        <v>0</v>
      </c>
      <c r="H823" s="1">
        <v>53200</v>
      </c>
      <c r="I823" s="98">
        <f t="shared" si="37"/>
        <v>126400</v>
      </c>
    </row>
    <row r="824" spans="1:9" x14ac:dyDescent="0.25">
      <c r="A824" t="s">
        <v>195</v>
      </c>
      <c r="B824" s="168" t="s">
        <v>1217</v>
      </c>
      <c r="C824" s="1" t="s">
        <v>328</v>
      </c>
      <c r="E824" s="1" t="s">
        <v>11</v>
      </c>
      <c r="G824" s="1">
        <v>0</v>
      </c>
      <c r="H824" s="1">
        <v>90000</v>
      </c>
      <c r="I824" s="98">
        <f t="shared" si="37"/>
        <v>200000</v>
      </c>
    </row>
    <row r="825" spans="1:9" s="135" customFormat="1" x14ac:dyDescent="0.25">
      <c r="A825" s="135" t="s">
        <v>179</v>
      </c>
      <c r="B825" s="166" t="s">
        <v>1218</v>
      </c>
      <c r="C825" s="136" t="s">
        <v>1115</v>
      </c>
      <c r="D825" s="136" t="s">
        <v>2065</v>
      </c>
      <c r="E825" s="136" t="s">
        <v>13</v>
      </c>
      <c r="G825" s="136">
        <v>5</v>
      </c>
      <c r="H825" s="137">
        <v>25000</v>
      </c>
      <c r="I825" s="137">
        <f t="shared" si="37"/>
        <v>70000</v>
      </c>
    </row>
    <row r="826" spans="1:9" x14ac:dyDescent="0.25">
      <c r="A826" t="s">
        <v>172</v>
      </c>
      <c r="B826" s="168" t="s">
        <v>1219</v>
      </c>
      <c r="C826" s="1" t="s">
        <v>377</v>
      </c>
      <c r="E826" s="1" t="s">
        <v>11</v>
      </c>
      <c r="G826" s="1">
        <v>0</v>
      </c>
      <c r="H826" s="1">
        <v>92000</v>
      </c>
      <c r="I826" s="1">
        <f t="shared" si="37"/>
        <v>204000</v>
      </c>
    </row>
    <row r="827" spans="1:9" x14ac:dyDescent="0.25">
      <c r="A827" t="s">
        <v>172</v>
      </c>
      <c r="B827" s="168" t="s">
        <v>1220</v>
      </c>
      <c r="C827" s="1" t="s">
        <v>1221</v>
      </c>
      <c r="E827" s="1" t="s">
        <v>11</v>
      </c>
      <c r="G827" s="1">
        <v>0</v>
      </c>
      <c r="H827" s="98">
        <v>61000</v>
      </c>
      <c r="I827" s="98">
        <f t="shared" si="37"/>
        <v>142000</v>
      </c>
    </row>
    <row r="828" spans="1:9" x14ac:dyDescent="0.25">
      <c r="A828" t="s">
        <v>828</v>
      </c>
      <c r="B828" s="168" t="s">
        <v>1222</v>
      </c>
      <c r="C828" s="1" t="s">
        <v>10</v>
      </c>
      <c r="D828" s="1" t="s">
        <v>316</v>
      </c>
      <c r="E828" s="1" t="s">
        <v>11</v>
      </c>
      <c r="G828" s="1">
        <v>0</v>
      </c>
      <c r="H828" s="98">
        <v>45000</v>
      </c>
      <c r="I828" s="98">
        <f t="shared" si="37"/>
        <v>110000</v>
      </c>
    </row>
    <row r="829" spans="1:9" x14ac:dyDescent="0.25">
      <c r="A829" t="s">
        <v>120</v>
      </c>
      <c r="B829" s="168" t="s">
        <v>1223</v>
      </c>
      <c r="C829" s="1" t="s">
        <v>169</v>
      </c>
      <c r="E829" s="1" t="s">
        <v>11</v>
      </c>
      <c r="F829" t="s">
        <v>1224</v>
      </c>
      <c r="G829" s="1">
        <v>0</v>
      </c>
      <c r="H829" s="1">
        <v>108000</v>
      </c>
      <c r="I829" s="98">
        <f t="shared" si="37"/>
        <v>236000</v>
      </c>
    </row>
    <row r="830" spans="1:9" x14ac:dyDescent="0.25">
      <c r="A830" t="s">
        <v>195</v>
      </c>
      <c r="B830" s="168" t="s">
        <v>1225</v>
      </c>
      <c r="C830" s="1" t="s">
        <v>1226</v>
      </c>
      <c r="E830" s="1" t="s">
        <v>11</v>
      </c>
      <c r="G830" s="1">
        <v>0</v>
      </c>
      <c r="H830" s="98">
        <v>45000</v>
      </c>
      <c r="I830" s="98">
        <f t="shared" si="37"/>
        <v>110000</v>
      </c>
    </row>
    <row r="831" spans="1:9" x14ac:dyDescent="0.25">
      <c r="A831" t="s">
        <v>245</v>
      </c>
      <c r="B831" s="168" t="s">
        <v>1227</v>
      </c>
      <c r="C831" s="1" t="s">
        <v>253</v>
      </c>
      <c r="E831" s="1" t="s">
        <v>11</v>
      </c>
      <c r="G831" s="1">
        <v>0</v>
      </c>
      <c r="H831" s="98">
        <v>75000</v>
      </c>
      <c r="I831" s="98">
        <f t="shared" si="37"/>
        <v>170000</v>
      </c>
    </row>
    <row r="832" spans="1:9" x14ac:dyDescent="0.25">
      <c r="A832" t="s">
        <v>422</v>
      </c>
      <c r="B832" s="168" t="s">
        <v>1228</v>
      </c>
      <c r="C832" s="1" t="s">
        <v>17</v>
      </c>
      <c r="E832" s="1" t="s">
        <v>11</v>
      </c>
      <c r="G832" s="1">
        <v>0</v>
      </c>
      <c r="H832" s="98">
        <v>39000</v>
      </c>
      <c r="I832" s="98">
        <f t="shared" si="37"/>
        <v>98000</v>
      </c>
    </row>
    <row r="833" spans="1:9" x14ac:dyDescent="0.25">
      <c r="A833" t="s">
        <v>60</v>
      </c>
      <c r="B833" s="168" t="s">
        <v>1229</v>
      </c>
      <c r="C833" s="1" t="s">
        <v>285</v>
      </c>
      <c r="D833" s="1" t="s">
        <v>231</v>
      </c>
      <c r="E833" s="1" t="s">
        <v>11</v>
      </c>
      <c r="G833" s="1">
        <v>0</v>
      </c>
      <c r="H833" s="98">
        <v>52000</v>
      </c>
      <c r="I833" s="98">
        <f t="shared" si="37"/>
        <v>124000</v>
      </c>
    </row>
    <row r="834" spans="1:9" x14ac:dyDescent="0.25">
      <c r="A834" t="s">
        <v>84</v>
      </c>
      <c r="B834" s="168" t="s">
        <v>1230</v>
      </c>
      <c r="C834" s="1" t="s">
        <v>1231</v>
      </c>
      <c r="E834" s="1" t="s">
        <v>11</v>
      </c>
      <c r="F834" s="1" t="s">
        <v>101</v>
      </c>
      <c r="G834" s="1">
        <v>0</v>
      </c>
      <c r="H834" s="1">
        <v>84000</v>
      </c>
      <c r="I834" s="1">
        <f t="shared" si="37"/>
        <v>188000</v>
      </c>
    </row>
    <row r="835" spans="1:9" x14ac:dyDescent="0.25">
      <c r="A835" t="s">
        <v>84</v>
      </c>
      <c r="B835" s="168" t="s">
        <v>1232</v>
      </c>
      <c r="C835" s="1" t="s">
        <v>57</v>
      </c>
      <c r="E835" s="1" t="s">
        <v>11</v>
      </c>
      <c r="G835" s="1">
        <v>0</v>
      </c>
      <c r="H835" s="98">
        <v>54000</v>
      </c>
      <c r="I835" s="98">
        <f t="shared" si="37"/>
        <v>128000</v>
      </c>
    </row>
    <row r="836" spans="1:9" x14ac:dyDescent="0.25">
      <c r="A836" t="s">
        <v>55</v>
      </c>
      <c r="B836" s="168" t="s">
        <v>1233</v>
      </c>
      <c r="C836" s="1" t="s">
        <v>377</v>
      </c>
      <c r="E836" s="1" t="s">
        <v>11</v>
      </c>
      <c r="G836" s="1">
        <v>0</v>
      </c>
      <c r="H836" s="1">
        <v>52000</v>
      </c>
      <c r="I836" s="1">
        <f t="shared" si="37"/>
        <v>124000</v>
      </c>
    </row>
    <row r="837" spans="1:9" x14ac:dyDescent="0.25">
      <c r="A837" t="s">
        <v>84</v>
      </c>
      <c r="B837" s="169" t="s">
        <v>1235</v>
      </c>
      <c r="C837" s="1" t="s">
        <v>1046</v>
      </c>
      <c r="E837" s="1" t="s">
        <v>381</v>
      </c>
      <c r="G837" s="1">
        <v>0</v>
      </c>
      <c r="H837" s="1">
        <v>94000</v>
      </c>
      <c r="I837" s="98">
        <f t="shared" si="37"/>
        <v>208000</v>
      </c>
    </row>
    <row r="838" spans="1:9" s="135" customFormat="1" x14ac:dyDescent="0.25">
      <c r="A838" s="135" t="s">
        <v>260</v>
      </c>
      <c r="B838" s="166" t="s">
        <v>1236</v>
      </c>
      <c r="C838" s="136" t="s">
        <v>744</v>
      </c>
      <c r="D838" s="136" t="s">
        <v>1041</v>
      </c>
      <c r="E838" s="136" t="s">
        <v>11</v>
      </c>
      <c r="G838" s="136">
        <v>1</v>
      </c>
      <c r="H838" s="137">
        <v>35000</v>
      </c>
      <c r="I838" s="137">
        <f t="shared" si="37"/>
        <v>90000</v>
      </c>
    </row>
    <row r="839" spans="1:9" x14ac:dyDescent="0.25">
      <c r="A839" t="s">
        <v>123</v>
      </c>
      <c r="B839" s="168" t="s">
        <v>1237</v>
      </c>
      <c r="C839" s="1" t="s">
        <v>1238</v>
      </c>
      <c r="E839" s="1" t="s">
        <v>11</v>
      </c>
      <c r="G839" s="1">
        <v>0</v>
      </c>
      <c r="H839" s="1">
        <v>91000</v>
      </c>
      <c r="I839" s="1">
        <f t="shared" si="37"/>
        <v>202000</v>
      </c>
    </row>
    <row r="840" spans="1:9" s="135" customFormat="1" x14ac:dyDescent="0.25">
      <c r="A840" s="135" t="s">
        <v>1239</v>
      </c>
      <c r="B840" s="166" t="s">
        <v>1240</v>
      </c>
      <c r="C840" s="136" t="s">
        <v>40</v>
      </c>
      <c r="D840" s="136" t="s">
        <v>1591</v>
      </c>
      <c r="E840" s="136" t="s">
        <v>11</v>
      </c>
      <c r="G840" s="136">
        <v>1</v>
      </c>
      <c r="H840" s="137">
        <v>39000</v>
      </c>
      <c r="I840" s="137">
        <f t="shared" si="37"/>
        <v>98000</v>
      </c>
    </row>
    <row r="841" spans="1:9" s="135" customFormat="1" x14ac:dyDescent="0.25">
      <c r="A841" s="135" t="s">
        <v>258</v>
      </c>
      <c r="B841" s="166" t="s">
        <v>1625</v>
      </c>
      <c r="C841" s="136">
        <v>1997</v>
      </c>
      <c r="D841" s="136" t="s">
        <v>1899</v>
      </c>
      <c r="E841" s="136" t="s">
        <v>11</v>
      </c>
      <c r="G841" s="136">
        <v>1</v>
      </c>
      <c r="H841" s="136">
        <v>30000</v>
      </c>
      <c r="I841" s="137">
        <f t="shared" si="37"/>
        <v>80000</v>
      </c>
    </row>
    <row r="842" spans="1:9" x14ac:dyDescent="0.25">
      <c r="A842" t="s">
        <v>258</v>
      </c>
      <c r="B842" s="168" t="s">
        <v>1241</v>
      </c>
      <c r="C842" s="1" t="s">
        <v>285</v>
      </c>
      <c r="E842" s="1" t="s">
        <v>11</v>
      </c>
      <c r="G842" s="1">
        <v>0</v>
      </c>
      <c r="H842" s="98">
        <v>48000</v>
      </c>
      <c r="I842" s="98">
        <f t="shared" si="37"/>
        <v>116000</v>
      </c>
    </row>
    <row r="843" spans="1:9" x14ac:dyDescent="0.25">
      <c r="A843" t="s">
        <v>60</v>
      </c>
      <c r="B843" s="168" t="s">
        <v>1242</v>
      </c>
      <c r="C843" s="1" t="s">
        <v>29</v>
      </c>
      <c r="D843" s="1" t="s">
        <v>838</v>
      </c>
      <c r="E843" s="1" t="s">
        <v>11</v>
      </c>
      <c r="F843" t="s">
        <v>101</v>
      </c>
      <c r="G843" s="1">
        <v>0</v>
      </c>
      <c r="H843" s="98">
        <v>67000</v>
      </c>
      <c r="I843" s="98">
        <f t="shared" si="37"/>
        <v>154000</v>
      </c>
    </row>
    <row r="844" spans="1:9" x14ac:dyDescent="0.25">
      <c r="A844" t="s">
        <v>60</v>
      </c>
      <c r="B844" s="168" t="s">
        <v>1243</v>
      </c>
      <c r="C844" s="1" t="s">
        <v>472</v>
      </c>
      <c r="E844" s="1" t="s">
        <v>11</v>
      </c>
      <c r="G844" s="1">
        <v>0</v>
      </c>
      <c r="H844" s="1">
        <v>118000</v>
      </c>
      <c r="I844" s="98">
        <f t="shared" si="37"/>
        <v>256000</v>
      </c>
    </row>
    <row r="845" spans="1:9" x14ac:dyDescent="0.25">
      <c r="A845" t="s">
        <v>947</v>
      </c>
      <c r="B845" s="168" t="s">
        <v>1244</v>
      </c>
      <c r="C845" s="1" t="s">
        <v>197</v>
      </c>
      <c r="D845" s="1" t="s">
        <v>207</v>
      </c>
      <c r="E845" s="1" t="s">
        <v>11</v>
      </c>
      <c r="G845" s="1">
        <v>0</v>
      </c>
      <c r="H845" s="98">
        <v>61000</v>
      </c>
      <c r="I845" s="98">
        <f t="shared" si="37"/>
        <v>142000</v>
      </c>
    </row>
    <row r="846" spans="1:9" x14ac:dyDescent="0.25">
      <c r="A846" t="s">
        <v>626</v>
      </c>
      <c r="B846" s="168" t="s">
        <v>1245</v>
      </c>
      <c r="C846" s="1" t="s">
        <v>743</v>
      </c>
      <c r="E846" s="1" t="s">
        <v>11</v>
      </c>
      <c r="G846" s="1">
        <v>0</v>
      </c>
      <c r="H846" s="1">
        <v>86000</v>
      </c>
      <c r="I846" s="98">
        <f t="shared" si="37"/>
        <v>192000</v>
      </c>
    </row>
    <row r="847" spans="1:9" s="135" customFormat="1" x14ac:dyDescent="0.25">
      <c r="A847" s="135" t="s">
        <v>947</v>
      </c>
      <c r="B847" s="166" t="s">
        <v>1246</v>
      </c>
      <c r="C847" s="136" t="s">
        <v>57</v>
      </c>
      <c r="D847" s="136" t="s">
        <v>1043</v>
      </c>
      <c r="E847" s="136" t="s">
        <v>11</v>
      </c>
      <c r="G847" s="136">
        <v>1</v>
      </c>
      <c r="H847" s="137">
        <v>40000</v>
      </c>
      <c r="I847" s="137">
        <f t="shared" si="37"/>
        <v>100000</v>
      </c>
    </row>
    <row r="848" spans="1:9" x14ac:dyDescent="0.25">
      <c r="A848" t="s">
        <v>238</v>
      </c>
      <c r="B848" s="168" t="s">
        <v>1251</v>
      </c>
      <c r="C848" s="1" t="s">
        <v>1201</v>
      </c>
      <c r="D848" s="1" t="s">
        <v>1969</v>
      </c>
      <c r="E848" s="1" t="s">
        <v>11</v>
      </c>
      <c r="G848" s="1">
        <v>0</v>
      </c>
      <c r="H848" s="98">
        <v>41000</v>
      </c>
      <c r="I848" s="98">
        <f t="shared" si="37"/>
        <v>102000</v>
      </c>
    </row>
    <row r="849" spans="1:10" x14ac:dyDescent="0.25">
      <c r="A849" s="135" t="s">
        <v>238</v>
      </c>
      <c r="B849" s="166" t="s">
        <v>1250</v>
      </c>
      <c r="C849" s="136" t="s">
        <v>94</v>
      </c>
      <c r="D849" s="136" t="s">
        <v>2031</v>
      </c>
      <c r="E849" s="136" t="s">
        <v>11</v>
      </c>
      <c r="F849" s="135" t="s">
        <v>537</v>
      </c>
      <c r="G849" s="1">
        <v>1</v>
      </c>
      <c r="H849" s="98">
        <v>35000</v>
      </c>
      <c r="I849" s="98">
        <f t="shared" si="37"/>
        <v>90000</v>
      </c>
    </row>
    <row r="850" spans="1:10" x14ac:dyDescent="0.25">
      <c r="A850" t="s">
        <v>238</v>
      </c>
      <c r="B850" s="168" t="s">
        <v>1249</v>
      </c>
      <c r="C850" s="1" t="s">
        <v>29</v>
      </c>
      <c r="E850" s="1" t="s">
        <v>11</v>
      </c>
      <c r="G850" s="1">
        <v>0</v>
      </c>
      <c r="H850" s="98">
        <v>25000</v>
      </c>
      <c r="I850" s="98">
        <f t="shared" si="37"/>
        <v>70000</v>
      </c>
    </row>
    <row r="851" spans="1:10" s="135" customFormat="1" x14ac:dyDescent="0.25">
      <c r="A851" s="132" t="s">
        <v>238</v>
      </c>
      <c r="B851" s="167" t="s">
        <v>1248</v>
      </c>
      <c r="C851" s="133" t="s">
        <v>1004</v>
      </c>
      <c r="D851" s="133" t="s">
        <v>80</v>
      </c>
      <c r="E851" s="133" t="s">
        <v>13</v>
      </c>
      <c r="F851" s="132" t="s">
        <v>250</v>
      </c>
      <c r="G851" s="136">
        <v>6</v>
      </c>
      <c r="H851" s="137">
        <v>26000</v>
      </c>
      <c r="I851" s="137">
        <f t="shared" si="37"/>
        <v>72000</v>
      </c>
    </row>
    <row r="852" spans="1:10" x14ac:dyDescent="0.25">
      <c r="A852" s="135" t="s">
        <v>238</v>
      </c>
      <c r="B852" s="166" t="s">
        <v>1248</v>
      </c>
      <c r="C852" s="136" t="s">
        <v>1004</v>
      </c>
      <c r="D852" s="136" t="s">
        <v>1863</v>
      </c>
      <c r="E852" s="136" t="s">
        <v>13</v>
      </c>
      <c r="F852" s="135" t="s">
        <v>220</v>
      </c>
      <c r="G852" s="1">
        <v>0</v>
      </c>
      <c r="H852" s="98">
        <v>50000</v>
      </c>
      <c r="I852" s="98">
        <f t="shared" si="37"/>
        <v>120000</v>
      </c>
    </row>
    <row r="853" spans="1:10" s="135" customFormat="1" x14ac:dyDescent="0.25">
      <c r="A853" t="s">
        <v>1006</v>
      </c>
      <c r="B853" s="168" t="s">
        <v>1247</v>
      </c>
      <c r="C853" s="1" t="s">
        <v>345</v>
      </c>
      <c r="D853" s="1" t="s">
        <v>131</v>
      </c>
      <c r="E853" s="1" t="s">
        <v>11</v>
      </c>
      <c r="F853"/>
      <c r="G853" s="136">
        <v>1</v>
      </c>
      <c r="H853" s="136">
        <v>45000</v>
      </c>
      <c r="I853" s="137">
        <f t="shared" si="37"/>
        <v>110000</v>
      </c>
    </row>
    <row r="854" spans="1:10" x14ac:dyDescent="0.25">
      <c r="A854" t="s">
        <v>238</v>
      </c>
      <c r="B854" s="168" t="s">
        <v>1178</v>
      </c>
      <c r="C854" s="1" t="s">
        <v>1000</v>
      </c>
      <c r="D854" s="1" t="s">
        <v>1969</v>
      </c>
      <c r="E854" s="1" t="s">
        <v>11</v>
      </c>
      <c r="G854" s="1">
        <v>0</v>
      </c>
      <c r="H854" s="98">
        <v>41000</v>
      </c>
      <c r="I854" s="98">
        <f t="shared" si="37"/>
        <v>102000</v>
      </c>
    </row>
    <row r="855" spans="1:10" x14ac:dyDescent="0.25">
      <c r="A855" t="s">
        <v>610</v>
      </c>
      <c r="B855" s="168" t="s">
        <v>1252</v>
      </c>
      <c r="C855" s="1" t="s">
        <v>57</v>
      </c>
      <c r="E855" s="1" t="s">
        <v>11</v>
      </c>
      <c r="G855" s="1">
        <v>0</v>
      </c>
      <c r="H855" s="98">
        <v>52000</v>
      </c>
      <c r="I855" s="98">
        <f t="shared" si="37"/>
        <v>124000</v>
      </c>
      <c r="J855" s="28"/>
    </row>
    <row r="856" spans="1:10" x14ac:dyDescent="0.25">
      <c r="A856" t="s">
        <v>873</v>
      </c>
      <c r="B856" s="168" t="s">
        <v>1253</v>
      </c>
      <c r="C856" s="1" t="s">
        <v>10</v>
      </c>
      <c r="E856" s="1" t="s">
        <v>11</v>
      </c>
      <c r="G856" s="1">
        <v>0</v>
      </c>
      <c r="H856" s="98">
        <v>26000</v>
      </c>
      <c r="I856" s="98">
        <f t="shared" si="37"/>
        <v>72000</v>
      </c>
    </row>
    <row r="857" spans="1:10" s="135" customFormat="1" x14ac:dyDescent="0.25">
      <c r="A857" s="135" t="s">
        <v>258</v>
      </c>
      <c r="B857" s="166" t="s">
        <v>2052</v>
      </c>
      <c r="C857" s="136">
        <v>1992</v>
      </c>
      <c r="D857" s="136" t="s">
        <v>1859</v>
      </c>
      <c r="E857" s="136" t="s">
        <v>13</v>
      </c>
      <c r="G857" s="136">
        <v>1</v>
      </c>
      <c r="H857" s="137">
        <v>30000</v>
      </c>
      <c r="I857" s="137">
        <f t="shared" si="37"/>
        <v>80000</v>
      </c>
    </row>
    <row r="858" spans="1:10" x14ac:dyDescent="0.25">
      <c r="B858" s="168" t="s">
        <v>1254</v>
      </c>
      <c r="D858" s="1">
        <v>2</v>
      </c>
      <c r="E858"/>
      <c r="I858"/>
    </row>
    <row r="859" spans="1:10" s="135" customFormat="1" x14ac:dyDescent="0.25">
      <c r="A859" s="135" t="s">
        <v>1255</v>
      </c>
      <c r="B859" s="166" t="s">
        <v>1256</v>
      </c>
      <c r="C859" s="136" t="s">
        <v>328</v>
      </c>
      <c r="D859" s="136" t="s">
        <v>1951</v>
      </c>
      <c r="E859" s="136" t="s">
        <v>11</v>
      </c>
      <c r="G859" s="136">
        <v>1</v>
      </c>
      <c r="H859" s="136">
        <v>53000</v>
      </c>
      <c r="I859" s="136">
        <f>H859*2+20000</f>
        <v>126000</v>
      </c>
    </row>
    <row r="860" spans="1:10" s="141" customFormat="1" x14ac:dyDescent="0.25">
      <c r="A860" s="141" t="s">
        <v>1558</v>
      </c>
      <c r="B860" s="176" t="s">
        <v>1559</v>
      </c>
      <c r="C860" s="142" t="s">
        <v>94</v>
      </c>
      <c r="D860" s="142" t="s">
        <v>567</v>
      </c>
      <c r="E860" s="142" t="s">
        <v>11</v>
      </c>
      <c r="G860" s="142">
        <v>1</v>
      </c>
      <c r="H860" s="142">
        <v>55000</v>
      </c>
      <c r="I860" s="133">
        <f>H860*2+20000</f>
        <v>130000</v>
      </c>
    </row>
    <row r="861" spans="1:10" s="135" customFormat="1" x14ac:dyDescent="0.25">
      <c r="A861" s="135" t="s">
        <v>422</v>
      </c>
      <c r="B861" s="166" t="s">
        <v>1318</v>
      </c>
      <c r="C861" s="136" t="s">
        <v>534</v>
      </c>
      <c r="D861" s="136" t="s">
        <v>1967</v>
      </c>
      <c r="E861" s="136" t="s">
        <v>11</v>
      </c>
      <c r="G861" s="136">
        <v>2</v>
      </c>
      <c r="H861" s="136">
        <v>42000</v>
      </c>
      <c r="I861" s="137">
        <f t="shared" ref="I861:I881" si="38">H861*2+20000</f>
        <v>104000</v>
      </c>
    </row>
    <row r="862" spans="1:10" x14ac:dyDescent="0.25">
      <c r="A862" t="s">
        <v>60</v>
      </c>
      <c r="B862" s="168" t="s">
        <v>980</v>
      </c>
      <c r="C862" s="1" t="s">
        <v>119</v>
      </c>
      <c r="D862" s="1" t="s">
        <v>1623</v>
      </c>
      <c r="E862" s="1" t="s">
        <v>11</v>
      </c>
      <c r="F862" s="1" t="s">
        <v>101</v>
      </c>
      <c r="G862" s="1">
        <v>0</v>
      </c>
      <c r="H862" s="1">
        <v>60000</v>
      </c>
      <c r="I862" s="98">
        <f t="shared" si="38"/>
        <v>140000</v>
      </c>
    </row>
    <row r="863" spans="1:10" x14ac:dyDescent="0.25">
      <c r="A863" t="s">
        <v>1286</v>
      </c>
      <c r="B863" s="168" t="s">
        <v>954</v>
      </c>
      <c r="C863" s="1" t="s">
        <v>1305</v>
      </c>
      <c r="D863" s="1" t="s">
        <v>369</v>
      </c>
      <c r="E863" s="1" t="s">
        <v>11</v>
      </c>
      <c r="G863" s="1">
        <v>0</v>
      </c>
      <c r="H863" s="1">
        <v>33000</v>
      </c>
      <c r="I863" s="98">
        <f t="shared" si="38"/>
        <v>86000</v>
      </c>
    </row>
    <row r="864" spans="1:10" s="135" customFormat="1" x14ac:dyDescent="0.25">
      <c r="A864" s="135" t="s">
        <v>1286</v>
      </c>
      <c r="B864" s="166" t="s">
        <v>1287</v>
      </c>
      <c r="C864" s="136" t="s">
        <v>1567</v>
      </c>
      <c r="D864" s="136" t="s">
        <v>369</v>
      </c>
      <c r="E864" s="136" t="s">
        <v>11</v>
      </c>
      <c r="G864" s="136">
        <v>1</v>
      </c>
      <c r="H864" s="136">
        <v>33000</v>
      </c>
      <c r="I864" s="137">
        <f t="shared" si="38"/>
        <v>86000</v>
      </c>
    </row>
    <row r="865" spans="1:9" x14ac:dyDescent="0.25">
      <c r="A865" t="s">
        <v>405</v>
      </c>
      <c r="B865" s="168" t="s">
        <v>813</v>
      </c>
      <c r="C865" s="1" t="s">
        <v>176</v>
      </c>
      <c r="D865" s="1" t="s">
        <v>407</v>
      </c>
      <c r="E865" s="1" t="s">
        <v>11</v>
      </c>
      <c r="G865" s="1">
        <v>1</v>
      </c>
      <c r="H865" s="1">
        <v>45000</v>
      </c>
      <c r="I865" s="127">
        <f t="shared" si="38"/>
        <v>110000</v>
      </c>
    </row>
    <row r="866" spans="1:9" x14ac:dyDescent="0.25">
      <c r="A866" t="s">
        <v>9</v>
      </c>
      <c r="B866" s="168">
        <v>2008</v>
      </c>
      <c r="C866" s="1" t="s">
        <v>328</v>
      </c>
      <c r="D866" s="1" t="s">
        <v>1951</v>
      </c>
      <c r="E866" s="1" t="s">
        <v>11</v>
      </c>
      <c r="F866" s="1" t="s">
        <v>1576</v>
      </c>
      <c r="G866" s="1">
        <v>0</v>
      </c>
      <c r="H866" s="1">
        <v>77000</v>
      </c>
      <c r="I866" s="1">
        <f t="shared" si="38"/>
        <v>174000</v>
      </c>
    </row>
    <row r="867" spans="1:9" s="141" customFormat="1" x14ac:dyDescent="0.25">
      <c r="A867" s="141" t="s">
        <v>1558</v>
      </c>
      <c r="B867" s="176" t="s">
        <v>1577</v>
      </c>
      <c r="C867" s="142" t="s">
        <v>328</v>
      </c>
      <c r="D867" s="142" t="s">
        <v>240</v>
      </c>
      <c r="E867" s="142" t="s">
        <v>11</v>
      </c>
      <c r="F867" s="142" t="s">
        <v>1578</v>
      </c>
      <c r="G867" s="142">
        <v>1</v>
      </c>
      <c r="H867" s="142">
        <v>70000</v>
      </c>
      <c r="I867" s="143">
        <f t="shared" si="38"/>
        <v>160000</v>
      </c>
    </row>
    <row r="868" spans="1:9" s="135" customFormat="1" x14ac:dyDescent="0.25">
      <c r="A868" s="135" t="s">
        <v>238</v>
      </c>
      <c r="B868" s="166" t="s">
        <v>426</v>
      </c>
      <c r="C868" s="136" t="s">
        <v>270</v>
      </c>
      <c r="D868" s="136" t="s">
        <v>1899</v>
      </c>
      <c r="E868" s="136" t="s">
        <v>11</v>
      </c>
      <c r="G868" s="136">
        <v>1</v>
      </c>
      <c r="H868" s="136">
        <v>38000</v>
      </c>
      <c r="I868" s="137">
        <f t="shared" si="38"/>
        <v>96000</v>
      </c>
    </row>
    <row r="869" spans="1:9" x14ac:dyDescent="0.25">
      <c r="A869" t="s">
        <v>241</v>
      </c>
      <c r="B869" s="168" t="s">
        <v>1285</v>
      </c>
      <c r="C869" s="1" t="s">
        <v>863</v>
      </c>
      <c r="D869" s="1" t="s">
        <v>628</v>
      </c>
      <c r="E869" s="1" t="s">
        <v>11</v>
      </c>
      <c r="G869" s="1">
        <v>0</v>
      </c>
      <c r="H869" s="1">
        <v>37000</v>
      </c>
      <c r="I869" s="98">
        <f t="shared" si="38"/>
        <v>94000</v>
      </c>
    </row>
    <row r="870" spans="1:9" x14ac:dyDescent="0.25">
      <c r="A870" t="s">
        <v>195</v>
      </c>
      <c r="B870" s="168" t="s">
        <v>1592</v>
      </c>
      <c r="C870" s="1" t="s">
        <v>328</v>
      </c>
      <c r="D870" s="1" t="s">
        <v>1279</v>
      </c>
      <c r="E870" s="1" t="s">
        <v>11</v>
      </c>
      <c r="G870" s="1">
        <v>0</v>
      </c>
      <c r="H870" s="1">
        <v>60000</v>
      </c>
      <c r="I870" s="98">
        <f t="shared" si="38"/>
        <v>140000</v>
      </c>
    </row>
    <row r="871" spans="1:9" x14ac:dyDescent="0.25">
      <c r="A871" t="s">
        <v>245</v>
      </c>
      <c r="B871" s="168" t="s">
        <v>1593</v>
      </c>
      <c r="C871" s="1" t="s">
        <v>94</v>
      </c>
      <c r="D871" s="1" t="s">
        <v>772</v>
      </c>
      <c r="E871" s="1" t="s">
        <v>11</v>
      </c>
      <c r="G871" s="1">
        <v>0</v>
      </c>
      <c r="H871" s="1">
        <v>46000</v>
      </c>
      <c r="I871" s="98">
        <f t="shared" si="38"/>
        <v>112000</v>
      </c>
    </row>
    <row r="872" spans="1:9" s="135" customFormat="1" x14ac:dyDescent="0.25">
      <c r="A872" s="135" t="s">
        <v>1594</v>
      </c>
      <c r="B872" s="166" t="s">
        <v>2008</v>
      </c>
      <c r="C872" s="136" t="s">
        <v>363</v>
      </c>
      <c r="D872" s="136" t="s">
        <v>1047</v>
      </c>
      <c r="E872" s="136" t="s">
        <v>11</v>
      </c>
      <c r="G872" s="136">
        <v>1</v>
      </c>
      <c r="H872" s="136">
        <v>41000</v>
      </c>
      <c r="I872" s="136">
        <f t="shared" si="38"/>
        <v>102000</v>
      </c>
    </row>
    <row r="873" spans="1:9" x14ac:dyDescent="0.25">
      <c r="A873" t="s">
        <v>245</v>
      </c>
      <c r="B873" s="168" t="s">
        <v>1595</v>
      </c>
      <c r="C873" s="1" t="s">
        <v>1596</v>
      </c>
      <c r="D873" s="1" t="s">
        <v>131</v>
      </c>
      <c r="E873" s="1" t="s">
        <v>11</v>
      </c>
      <c r="G873" s="1">
        <v>0</v>
      </c>
      <c r="H873" s="1">
        <v>87000</v>
      </c>
      <c r="I873" s="98">
        <f t="shared" si="38"/>
        <v>194000</v>
      </c>
    </row>
    <row r="874" spans="1:9" s="135" customFormat="1" x14ac:dyDescent="0.25">
      <c r="A874" s="135" t="s">
        <v>238</v>
      </c>
      <c r="B874" s="166" t="s">
        <v>1151</v>
      </c>
      <c r="C874" s="136" t="s">
        <v>1567</v>
      </c>
      <c r="D874" s="136" t="s">
        <v>1860</v>
      </c>
      <c r="E874" s="136" t="s">
        <v>13</v>
      </c>
      <c r="G874" s="136">
        <v>9</v>
      </c>
      <c r="H874" s="136">
        <v>25500</v>
      </c>
      <c r="I874" s="137">
        <f t="shared" si="38"/>
        <v>71000</v>
      </c>
    </row>
    <row r="875" spans="1:9" x14ac:dyDescent="0.25">
      <c r="A875" t="s">
        <v>225</v>
      </c>
      <c r="B875" s="168" t="s">
        <v>1300</v>
      </c>
      <c r="C875" s="1" t="s">
        <v>1604</v>
      </c>
      <c r="D875" s="1" t="s">
        <v>98</v>
      </c>
      <c r="E875" s="1" t="s">
        <v>11</v>
      </c>
      <c r="G875" s="1">
        <v>0</v>
      </c>
      <c r="H875" s="1">
        <v>39000</v>
      </c>
      <c r="I875" s="98">
        <f t="shared" si="38"/>
        <v>98000</v>
      </c>
    </row>
    <row r="876" spans="1:9" x14ac:dyDescent="0.25">
      <c r="A876" t="s">
        <v>334</v>
      </c>
      <c r="B876" s="168" t="s">
        <v>520</v>
      </c>
      <c r="C876" s="1" t="s">
        <v>29</v>
      </c>
      <c r="D876" s="1" t="s">
        <v>1965</v>
      </c>
      <c r="E876" s="1" t="s">
        <v>11</v>
      </c>
      <c r="F876" s="1" t="s">
        <v>2040</v>
      </c>
      <c r="G876" s="1">
        <v>1</v>
      </c>
      <c r="H876" s="1">
        <v>64000</v>
      </c>
      <c r="I876" s="98">
        <f t="shared" si="38"/>
        <v>148000</v>
      </c>
    </row>
    <row r="877" spans="1:9" x14ac:dyDescent="0.25">
      <c r="A877" t="s">
        <v>211</v>
      </c>
      <c r="B877" s="168" t="s">
        <v>1620</v>
      </c>
      <c r="D877" s="1" t="s">
        <v>38</v>
      </c>
      <c r="E877" s="1" t="s">
        <v>11</v>
      </c>
      <c r="G877" s="1">
        <v>0</v>
      </c>
      <c r="H877" s="1">
        <v>69000</v>
      </c>
      <c r="I877" s="98">
        <f t="shared" si="38"/>
        <v>158000</v>
      </c>
    </row>
    <row r="878" spans="1:9" x14ac:dyDescent="0.25">
      <c r="A878" t="s">
        <v>211</v>
      </c>
      <c r="B878" s="168" t="s">
        <v>1636</v>
      </c>
      <c r="D878" s="1" t="s">
        <v>38</v>
      </c>
      <c r="E878" s="1" t="s">
        <v>11</v>
      </c>
      <c r="G878" s="1">
        <v>0</v>
      </c>
      <c r="H878" s="1">
        <v>89000</v>
      </c>
      <c r="I878" s="98">
        <f t="shared" si="38"/>
        <v>198000</v>
      </c>
    </row>
    <row r="879" spans="1:9" s="135" customFormat="1" x14ac:dyDescent="0.25">
      <c r="A879" s="135" t="s">
        <v>241</v>
      </c>
      <c r="B879" s="166" t="s">
        <v>1621</v>
      </c>
      <c r="C879" s="136" t="s">
        <v>16</v>
      </c>
      <c r="D879" s="136" t="s">
        <v>641</v>
      </c>
      <c r="E879" s="136" t="s">
        <v>11</v>
      </c>
      <c r="G879" s="136">
        <v>1</v>
      </c>
      <c r="H879" s="136">
        <v>37000</v>
      </c>
      <c r="I879" s="144">
        <f t="shared" si="38"/>
        <v>94000</v>
      </c>
    </row>
    <row r="880" spans="1:9" s="135" customFormat="1" x14ac:dyDescent="0.25">
      <c r="A880" s="135" t="s">
        <v>245</v>
      </c>
      <c r="B880" s="166" t="s">
        <v>1624</v>
      </c>
      <c r="C880" s="136" t="s">
        <v>103</v>
      </c>
      <c r="D880" s="136" t="s">
        <v>38</v>
      </c>
      <c r="E880" s="136" t="s">
        <v>11</v>
      </c>
      <c r="F880" s="135" t="s">
        <v>1637</v>
      </c>
      <c r="G880" s="136">
        <v>1</v>
      </c>
      <c r="H880" s="136">
        <v>70000</v>
      </c>
      <c r="I880" s="137">
        <f t="shared" si="38"/>
        <v>160000</v>
      </c>
    </row>
    <row r="881" spans="1:9" x14ac:dyDescent="0.25">
      <c r="A881" t="s">
        <v>422</v>
      </c>
      <c r="B881" s="168" t="s">
        <v>1273</v>
      </c>
      <c r="C881" s="1" t="s">
        <v>419</v>
      </c>
      <c r="D881" s="1" t="s">
        <v>1966</v>
      </c>
      <c r="E881" s="1" t="s">
        <v>11</v>
      </c>
      <c r="G881" s="1">
        <v>1</v>
      </c>
      <c r="H881" s="127">
        <v>40000</v>
      </c>
      <c r="I881" s="98">
        <f t="shared" si="38"/>
        <v>100000</v>
      </c>
    </row>
    <row r="882" spans="1:9" s="141" customFormat="1" x14ac:dyDescent="0.25">
      <c r="A882" s="141" t="s">
        <v>873</v>
      </c>
      <c r="B882" s="176" t="s">
        <v>1629</v>
      </c>
      <c r="C882" s="142"/>
      <c r="D882" s="142" t="s">
        <v>353</v>
      </c>
      <c r="E882" s="142" t="s">
        <v>13</v>
      </c>
      <c r="G882" s="142">
        <v>1</v>
      </c>
      <c r="H882" s="150"/>
      <c r="I882" s="143"/>
    </row>
    <row r="883" spans="1:9" s="132" customFormat="1" x14ac:dyDescent="0.25">
      <c r="A883" s="132" t="s">
        <v>183</v>
      </c>
      <c r="B883" s="167" t="s">
        <v>1299</v>
      </c>
      <c r="C883" s="133" t="s">
        <v>233</v>
      </c>
      <c r="D883" s="133" t="s">
        <v>80</v>
      </c>
      <c r="E883" s="133" t="s">
        <v>13</v>
      </c>
      <c r="G883" s="133">
        <v>1</v>
      </c>
      <c r="H883" s="149"/>
      <c r="I883" s="148"/>
    </row>
    <row r="884" spans="1:9" s="135" customFormat="1" x14ac:dyDescent="0.25">
      <c r="A884" s="135" t="s">
        <v>772</v>
      </c>
      <c r="B884" s="166" t="s">
        <v>776</v>
      </c>
      <c r="C884" s="136" t="s">
        <v>54</v>
      </c>
      <c r="D884" s="136" t="s">
        <v>231</v>
      </c>
      <c r="E884" s="136" t="s">
        <v>13</v>
      </c>
      <c r="G884" s="136">
        <v>1</v>
      </c>
      <c r="H884" s="136">
        <v>40000</v>
      </c>
      <c r="I884" s="136">
        <f t="shared" ref="I884:I889" si="39">H884*2+20000</f>
        <v>100000</v>
      </c>
    </row>
    <row r="885" spans="1:9" s="135" customFormat="1" x14ac:dyDescent="0.25">
      <c r="A885" s="135" t="s">
        <v>144</v>
      </c>
      <c r="B885" s="166" t="s">
        <v>584</v>
      </c>
      <c r="C885" s="136" t="s">
        <v>543</v>
      </c>
      <c r="D885" s="136" t="s">
        <v>80</v>
      </c>
      <c r="E885" s="136" t="s">
        <v>13</v>
      </c>
      <c r="G885" s="136">
        <v>1</v>
      </c>
      <c r="H885" s="136">
        <v>25000</v>
      </c>
      <c r="I885" s="137">
        <f t="shared" si="39"/>
        <v>70000</v>
      </c>
    </row>
    <row r="886" spans="1:9" s="135" customFormat="1" x14ac:dyDescent="0.25">
      <c r="A886" s="135" t="s">
        <v>241</v>
      </c>
      <c r="B886" s="166" t="s">
        <v>1815</v>
      </c>
      <c r="C886" s="136" t="s">
        <v>10</v>
      </c>
      <c r="D886" s="136" t="s">
        <v>1945</v>
      </c>
      <c r="E886" s="136" t="s">
        <v>13</v>
      </c>
      <c r="G886" s="136">
        <v>1</v>
      </c>
      <c r="H886" s="136">
        <v>23000</v>
      </c>
      <c r="I886" s="137">
        <f t="shared" si="39"/>
        <v>66000</v>
      </c>
    </row>
    <row r="887" spans="1:9" x14ac:dyDescent="0.25">
      <c r="A887" t="s">
        <v>241</v>
      </c>
      <c r="B887" s="168">
        <v>2700</v>
      </c>
      <c r="C887" s="1">
        <v>1996</v>
      </c>
      <c r="D887" s="1" t="s">
        <v>997</v>
      </c>
      <c r="E887" s="1" t="s">
        <v>13</v>
      </c>
      <c r="G887" s="1">
        <v>2</v>
      </c>
      <c r="H887" s="1">
        <v>20000</v>
      </c>
      <c r="I887" s="98">
        <f t="shared" si="39"/>
        <v>60000</v>
      </c>
    </row>
    <row r="888" spans="1:9" s="135" customFormat="1" x14ac:dyDescent="0.25">
      <c r="A888" s="135" t="s">
        <v>9</v>
      </c>
      <c r="B888" s="166">
        <v>306</v>
      </c>
      <c r="C888" s="136" t="s">
        <v>1260</v>
      </c>
      <c r="D888" s="136" t="s">
        <v>80</v>
      </c>
      <c r="E888" s="136" t="s">
        <v>13</v>
      </c>
      <c r="F888" s="136" t="s">
        <v>250</v>
      </c>
      <c r="G888" s="136">
        <v>2</v>
      </c>
      <c r="H888" s="136">
        <v>30000</v>
      </c>
      <c r="I888" s="137">
        <f t="shared" si="39"/>
        <v>80000</v>
      </c>
    </row>
    <row r="889" spans="1:9" x14ac:dyDescent="0.25">
      <c r="A889" t="s">
        <v>225</v>
      </c>
      <c r="B889" s="168" t="s">
        <v>892</v>
      </c>
      <c r="C889" s="1" t="s">
        <v>893</v>
      </c>
      <c r="D889" s="1" t="s">
        <v>1952</v>
      </c>
      <c r="E889" s="1" t="s">
        <v>11</v>
      </c>
      <c r="F889" t="s">
        <v>894</v>
      </c>
      <c r="G889" s="1">
        <v>0</v>
      </c>
      <c r="H889" s="1">
        <v>42000</v>
      </c>
      <c r="I889" s="1">
        <f t="shared" si="39"/>
        <v>104000</v>
      </c>
    </row>
    <row r="890" spans="1:9" s="135" customFormat="1" x14ac:dyDescent="0.25">
      <c r="A890" s="135" t="s">
        <v>179</v>
      </c>
      <c r="B890" s="166" t="s">
        <v>689</v>
      </c>
      <c r="C890" s="136" t="s">
        <v>40</v>
      </c>
      <c r="D890" s="136" t="s">
        <v>1877</v>
      </c>
      <c r="E890" s="136" t="s">
        <v>13</v>
      </c>
      <c r="G890" s="136">
        <v>1</v>
      </c>
      <c r="H890" s="137">
        <v>30000</v>
      </c>
      <c r="I890" s="137">
        <f t="shared" ref="I890:I901" si="40">H890*2+20000</f>
        <v>80000</v>
      </c>
    </row>
    <row r="891" spans="1:9" x14ac:dyDescent="0.25">
      <c r="A891" t="s">
        <v>245</v>
      </c>
      <c r="B891" s="168" t="s">
        <v>1878</v>
      </c>
      <c r="D891" s="1" t="s">
        <v>1879</v>
      </c>
      <c r="E891" s="1" t="s">
        <v>13</v>
      </c>
      <c r="F891" s="1" t="s">
        <v>1880</v>
      </c>
      <c r="G891" s="1">
        <v>1</v>
      </c>
      <c r="H891" s="128">
        <v>37000</v>
      </c>
      <c r="I891" s="98">
        <f t="shared" si="40"/>
        <v>94000</v>
      </c>
    </row>
    <row r="892" spans="1:9" s="141" customFormat="1" x14ac:dyDescent="0.25">
      <c r="A892" s="141" t="s">
        <v>195</v>
      </c>
      <c r="B892" s="176" t="s">
        <v>1896</v>
      </c>
      <c r="C892" s="142" t="s">
        <v>197</v>
      </c>
      <c r="D892" s="142" t="s">
        <v>329</v>
      </c>
      <c r="E892" s="142" t="s">
        <v>13</v>
      </c>
      <c r="G892" s="142">
        <v>1</v>
      </c>
      <c r="H892" s="151">
        <v>45000</v>
      </c>
      <c r="I892" s="152">
        <f t="shared" si="40"/>
        <v>110000</v>
      </c>
    </row>
    <row r="893" spans="1:9" s="141" customFormat="1" x14ac:dyDescent="0.25">
      <c r="A893" s="141" t="s">
        <v>511</v>
      </c>
      <c r="B893" s="176" t="s">
        <v>648</v>
      </c>
      <c r="C893" s="142"/>
      <c r="D893" s="142" t="s">
        <v>329</v>
      </c>
      <c r="E893" s="142" t="s">
        <v>13</v>
      </c>
      <c r="F893" s="141" t="s">
        <v>537</v>
      </c>
      <c r="G893" s="142">
        <v>1</v>
      </c>
      <c r="H893" s="151">
        <v>30000</v>
      </c>
      <c r="I893" s="152">
        <f t="shared" si="40"/>
        <v>80000</v>
      </c>
    </row>
    <row r="894" spans="1:9" s="141" customFormat="1" x14ac:dyDescent="0.25">
      <c r="A894" s="141" t="s">
        <v>245</v>
      </c>
      <c r="B894" s="176" t="s">
        <v>1595</v>
      </c>
      <c r="C894" s="142"/>
      <c r="D894" s="142" t="s">
        <v>1610</v>
      </c>
      <c r="E894" s="142" t="s">
        <v>13</v>
      </c>
      <c r="F894" s="142" t="s">
        <v>537</v>
      </c>
      <c r="G894" s="142">
        <v>1</v>
      </c>
      <c r="H894" s="151">
        <v>30000</v>
      </c>
      <c r="I894" s="152">
        <f t="shared" si="40"/>
        <v>80000</v>
      </c>
    </row>
    <row r="895" spans="1:9" s="135" customFormat="1" x14ac:dyDescent="0.25">
      <c r="A895" s="135" t="s">
        <v>183</v>
      </c>
      <c r="B895" s="166" t="s">
        <v>617</v>
      </c>
      <c r="C895" s="136">
        <v>2004</v>
      </c>
      <c r="D895" s="136" t="s">
        <v>1610</v>
      </c>
      <c r="E895" s="136" t="s">
        <v>13</v>
      </c>
      <c r="F895" s="136" t="s">
        <v>250</v>
      </c>
      <c r="G895" s="136">
        <v>1</v>
      </c>
      <c r="H895" s="136">
        <v>30000</v>
      </c>
      <c r="I895" s="144">
        <f t="shared" si="40"/>
        <v>80000</v>
      </c>
    </row>
    <row r="896" spans="1:9" x14ac:dyDescent="0.25">
      <c r="A896" t="s">
        <v>238</v>
      </c>
      <c r="B896" s="168" t="s">
        <v>1909</v>
      </c>
      <c r="C896" s="1" t="s">
        <v>233</v>
      </c>
      <c r="D896" s="1" t="s">
        <v>1910</v>
      </c>
      <c r="E896" s="1" t="s">
        <v>11</v>
      </c>
      <c r="G896" s="1">
        <v>2</v>
      </c>
      <c r="H896" s="1">
        <v>45000</v>
      </c>
      <c r="I896" s="98">
        <f t="shared" si="40"/>
        <v>110000</v>
      </c>
    </row>
    <row r="897" spans="1:9" x14ac:dyDescent="0.25">
      <c r="A897" t="s">
        <v>238</v>
      </c>
      <c r="B897" s="168" t="s">
        <v>1911</v>
      </c>
      <c r="C897" s="1" t="s">
        <v>498</v>
      </c>
      <c r="D897" s="1" t="s">
        <v>1912</v>
      </c>
      <c r="E897" s="1" t="s">
        <v>11</v>
      </c>
      <c r="G897" s="1">
        <v>1</v>
      </c>
      <c r="H897" s="1">
        <v>40000</v>
      </c>
      <c r="I897" s="98">
        <f t="shared" si="40"/>
        <v>100000</v>
      </c>
    </row>
    <row r="898" spans="1:9" s="135" customFormat="1" x14ac:dyDescent="0.25">
      <c r="A898" s="135" t="s">
        <v>334</v>
      </c>
      <c r="B898" s="166" t="s">
        <v>1942</v>
      </c>
      <c r="C898" s="136" t="s">
        <v>94</v>
      </c>
      <c r="D898" s="136" t="s">
        <v>38</v>
      </c>
      <c r="E898" s="136" t="s">
        <v>11</v>
      </c>
      <c r="G898" s="136">
        <v>1</v>
      </c>
      <c r="H898" s="136">
        <v>60000</v>
      </c>
      <c r="I898" s="137">
        <f t="shared" si="40"/>
        <v>140000</v>
      </c>
    </row>
    <row r="899" spans="1:9" x14ac:dyDescent="0.25">
      <c r="A899" t="s">
        <v>9</v>
      </c>
      <c r="B899" s="168">
        <v>308</v>
      </c>
      <c r="C899" s="1" t="s">
        <v>390</v>
      </c>
      <c r="D899" s="1" t="s">
        <v>1043</v>
      </c>
      <c r="E899" s="1" t="s">
        <v>11</v>
      </c>
      <c r="F899" s="1" t="s">
        <v>101</v>
      </c>
      <c r="G899" s="1">
        <v>0</v>
      </c>
      <c r="H899" s="1">
        <v>75000</v>
      </c>
      <c r="I899" s="98">
        <f t="shared" si="40"/>
        <v>170000</v>
      </c>
    </row>
    <row r="900" spans="1:9" s="135" customFormat="1" x14ac:dyDescent="0.25">
      <c r="A900" s="135" t="s">
        <v>45</v>
      </c>
      <c r="B900" s="166" t="s">
        <v>290</v>
      </c>
      <c r="C900" s="136" t="s">
        <v>59</v>
      </c>
      <c r="D900" s="136" t="s">
        <v>1945</v>
      </c>
      <c r="E900" s="136" t="s">
        <v>13</v>
      </c>
      <c r="F900" s="135" t="s">
        <v>1814</v>
      </c>
      <c r="G900" s="136">
        <v>1</v>
      </c>
      <c r="H900" s="136">
        <v>26000</v>
      </c>
      <c r="I900" s="136">
        <f t="shared" si="40"/>
        <v>72000</v>
      </c>
    </row>
    <row r="901" spans="1:9" x14ac:dyDescent="0.25">
      <c r="A901" t="s">
        <v>172</v>
      </c>
      <c r="B901" s="168" t="s">
        <v>1116</v>
      </c>
      <c r="C901" s="1" t="s">
        <v>513</v>
      </c>
      <c r="E901" s="1" t="s">
        <v>13</v>
      </c>
      <c r="F901" s="1" t="s">
        <v>1976</v>
      </c>
      <c r="G901" s="1">
        <v>0</v>
      </c>
      <c r="H901" s="1">
        <v>34000</v>
      </c>
      <c r="I901" s="98">
        <f t="shared" si="40"/>
        <v>88000</v>
      </c>
    </row>
    <row r="902" spans="1:9" x14ac:dyDescent="0.25">
      <c r="G902" s="1">
        <v>0</v>
      </c>
    </row>
    <row r="903" spans="1:9" s="141" customFormat="1" x14ac:dyDescent="0.25">
      <c r="A903" s="141" t="s">
        <v>405</v>
      </c>
      <c r="B903" s="176" t="s">
        <v>813</v>
      </c>
      <c r="C903" s="142" t="s">
        <v>17</v>
      </c>
      <c r="D903" s="142" t="s">
        <v>353</v>
      </c>
      <c r="E903" s="142" t="s">
        <v>13</v>
      </c>
      <c r="G903" s="142">
        <v>1</v>
      </c>
      <c r="H903" s="142">
        <v>35000</v>
      </c>
      <c r="I903" s="150">
        <f t="shared" ref="I903:I910" si="41">H903*2+20000</f>
        <v>90000</v>
      </c>
    </row>
    <row r="904" spans="1:9" s="135" customFormat="1" x14ac:dyDescent="0.25">
      <c r="A904" s="135" t="s">
        <v>195</v>
      </c>
      <c r="B904" s="166" t="s">
        <v>662</v>
      </c>
      <c r="C904" s="136" t="s">
        <v>57</v>
      </c>
      <c r="D904" s="136" t="s">
        <v>329</v>
      </c>
      <c r="E904" s="136" t="s">
        <v>13</v>
      </c>
      <c r="F904" s="136" t="s">
        <v>570</v>
      </c>
      <c r="G904" s="136">
        <v>1</v>
      </c>
      <c r="H904" s="136">
        <v>30000</v>
      </c>
      <c r="I904" s="137">
        <f t="shared" si="41"/>
        <v>80000</v>
      </c>
    </row>
    <row r="905" spans="1:9" s="135" customFormat="1" x14ac:dyDescent="0.25">
      <c r="A905" s="135" t="s">
        <v>245</v>
      </c>
      <c r="B905" s="166" t="s">
        <v>1267</v>
      </c>
      <c r="C905" s="136"/>
      <c r="D905" s="136" t="s">
        <v>80</v>
      </c>
      <c r="E905" s="136" t="s">
        <v>13</v>
      </c>
      <c r="F905" s="136" t="s">
        <v>1994</v>
      </c>
      <c r="G905" s="136">
        <v>1</v>
      </c>
      <c r="H905" s="136">
        <v>30000</v>
      </c>
      <c r="I905" s="137">
        <f t="shared" si="41"/>
        <v>80000</v>
      </c>
    </row>
    <row r="906" spans="1:9" s="141" customFormat="1" x14ac:dyDescent="0.25">
      <c r="A906" s="141" t="s">
        <v>241</v>
      </c>
      <c r="B906" s="176" t="s">
        <v>1107</v>
      </c>
      <c r="C906" s="142">
        <v>2010</v>
      </c>
      <c r="D906" s="142" t="s">
        <v>178</v>
      </c>
      <c r="E906" s="142" t="s">
        <v>13</v>
      </c>
      <c r="F906" s="142" t="s">
        <v>537</v>
      </c>
      <c r="G906" s="142">
        <v>2</v>
      </c>
      <c r="H906" s="150">
        <v>30000</v>
      </c>
      <c r="I906" s="143">
        <f t="shared" si="41"/>
        <v>80000</v>
      </c>
    </row>
    <row r="907" spans="1:9" s="132" customFormat="1" x14ac:dyDescent="0.25">
      <c r="A907" s="132" t="s">
        <v>405</v>
      </c>
      <c r="B907" s="167" t="s">
        <v>1996</v>
      </c>
      <c r="C907" s="133"/>
      <c r="D907" s="133" t="s">
        <v>80</v>
      </c>
      <c r="E907" s="133" t="s">
        <v>13</v>
      </c>
      <c r="G907" s="133">
        <v>1</v>
      </c>
      <c r="H907" s="149">
        <v>30000</v>
      </c>
      <c r="I907" s="148">
        <f t="shared" si="41"/>
        <v>80000</v>
      </c>
    </row>
    <row r="908" spans="1:9" s="132" customFormat="1" x14ac:dyDescent="0.25">
      <c r="A908" s="132" t="s">
        <v>132</v>
      </c>
      <c r="B908" s="167" t="s">
        <v>1997</v>
      </c>
      <c r="C908" s="133">
        <v>2003</v>
      </c>
      <c r="D908" s="133" t="s">
        <v>80</v>
      </c>
      <c r="E908" s="133" t="s">
        <v>13</v>
      </c>
      <c r="G908" s="133">
        <v>1</v>
      </c>
      <c r="H908" s="149">
        <v>35000</v>
      </c>
      <c r="I908" s="134">
        <f t="shared" si="41"/>
        <v>90000</v>
      </c>
    </row>
    <row r="909" spans="1:9" s="135" customFormat="1" x14ac:dyDescent="0.25">
      <c r="A909" s="135" t="s">
        <v>1147</v>
      </c>
      <c r="B909" s="166" t="s">
        <v>2010</v>
      </c>
      <c r="C909" s="136" t="s">
        <v>54</v>
      </c>
      <c r="D909" s="136" t="s">
        <v>1945</v>
      </c>
      <c r="E909" s="136" t="s">
        <v>13</v>
      </c>
      <c r="G909" s="136">
        <v>1</v>
      </c>
      <c r="H909" s="136">
        <v>45000</v>
      </c>
      <c r="I909" s="137">
        <f t="shared" si="41"/>
        <v>110000</v>
      </c>
    </row>
    <row r="910" spans="1:9" x14ac:dyDescent="0.25">
      <c r="A910" t="s">
        <v>225</v>
      </c>
      <c r="B910" s="168" t="s">
        <v>778</v>
      </c>
      <c r="C910" s="1" t="s">
        <v>575</v>
      </c>
      <c r="D910" s="1" t="s">
        <v>997</v>
      </c>
      <c r="E910" s="1" t="s">
        <v>13</v>
      </c>
      <c r="F910" s="1" t="s">
        <v>537</v>
      </c>
      <c r="G910" s="1">
        <v>1</v>
      </c>
      <c r="H910" s="1">
        <v>30000</v>
      </c>
      <c r="I910" s="98">
        <f t="shared" si="41"/>
        <v>80000</v>
      </c>
    </row>
    <row r="913" spans="1:9" x14ac:dyDescent="0.25">
      <c r="G913" s="1">
        <f>SUM(G3:G912)</f>
        <v>635</v>
      </c>
    </row>
    <row r="925" spans="1:9" x14ac:dyDescent="0.25">
      <c r="F925">
        <v>89899</v>
      </c>
    </row>
    <row r="926" spans="1:9" s="135" customFormat="1" x14ac:dyDescent="0.25">
      <c r="A926" s="135" t="s">
        <v>195</v>
      </c>
      <c r="B926" s="166" t="s">
        <v>284</v>
      </c>
      <c r="C926" s="136" t="s">
        <v>94</v>
      </c>
      <c r="D926" s="136" t="s">
        <v>1949</v>
      </c>
      <c r="E926" s="136" t="s">
        <v>11</v>
      </c>
      <c r="G926" s="136">
        <v>2</v>
      </c>
      <c r="H926" s="136">
        <v>50000</v>
      </c>
      <c r="I926" s="137">
        <f t="shared" ref="I926:I934" si="42">H926*2+20000</f>
        <v>120000</v>
      </c>
    </row>
    <row r="927" spans="1:9" x14ac:dyDescent="0.25">
      <c r="A927" t="s">
        <v>9</v>
      </c>
      <c r="B927" s="168">
        <v>977.25057471264404</v>
      </c>
      <c r="C927" s="1" t="s">
        <v>10</v>
      </c>
      <c r="E927" s="1" t="s">
        <v>11</v>
      </c>
      <c r="H927" s="1">
        <v>56208.478394357</v>
      </c>
      <c r="I927" s="98">
        <f t="shared" si="42"/>
        <v>132416.95678871399</v>
      </c>
    </row>
    <row r="928" spans="1:9" ht="13.5" customHeight="1" x14ac:dyDescent="0.25">
      <c r="A928" t="s">
        <v>12</v>
      </c>
      <c r="B928" s="168">
        <v>1009.6903967371099</v>
      </c>
      <c r="C928" s="1">
        <v>1992</v>
      </c>
      <c r="E928" s="1" t="s">
        <v>11</v>
      </c>
      <c r="G928" s="1">
        <v>0.65950219694510703</v>
      </c>
      <c r="H928" s="1">
        <v>56386.428073670897</v>
      </c>
      <c r="I928" s="1">
        <f t="shared" si="42"/>
        <v>132772.85614734178</v>
      </c>
    </row>
    <row r="929" spans="1:9" s="135" customFormat="1" x14ac:dyDescent="0.25">
      <c r="A929" s="135" t="s">
        <v>183</v>
      </c>
      <c r="B929" s="166" t="s">
        <v>2032</v>
      </c>
      <c r="C929" s="136" t="s">
        <v>29</v>
      </c>
      <c r="D929" s="136" t="s">
        <v>267</v>
      </c>
      <c r="E929" s="136" t="s">
        <v>11</v>
      </c>
      <c r="G929" s="136">
        <v>0</v>
      </c>
      <c r="H929" s="136">
        <v>86000</v>
      </c>
      <c r="I929" s="137">
        <f t="shared" si="42"/>
        <v>192000</v>
      </c>
    </row>
    <row r="930" spans="1:9" s="135" customFormat="1" x14ac:dyDescent="0.25">
      <c r="A930" s="135" t="s">
        <v>2034</v>
      </c>
      <c r="B930" s="166" t="s">
        <v>2033</v>
      </c>
      <c r="C930" s="136" t="s">
        <v>863</v>
      </c>
      <c r="D930" s="136" t="s">
        <v>482</v>
      </c>
      <c r="E930" s="136" t="s">
        <v>11</v>
      </c>
      <c r="G930" s="136">
        <v>1</v>
      </c>
      <c r="H930" s="136">
        <v>113000</v>
      </c>
      <c r="I930" s="137">
        <f t="shared" si="42"/>
        <v>246000</v>
      </c>
    </row>
    <row r="931" spans="1:9" s="135" customFormat="1" x14ac:dyDescent="0.25">
      <c r="A931" s="135" t="s">
        <v>2035</v>
      </c>
      <c r="B931" s="166" t="s">
        <v>2036</v>
      </c>
      <c r="C931" s="136" t="s">
        <v>472</v>
      </c>
      <c r="D931" s="136" t="s">
        <v>482</v>
      </c>
      <c r="E931" s="136" t="s">
        <v>11</v>
      </c>
      <c r="G931" s="136">
        <v>1</v>
      </c>
      <c r="H931" s="136">
        <v>93000</v>
      </c>
      <c r="I931" s="145">
        <f t="shared" si="42"/>
        <v>206000</v>
      </c>
    </row>
    <row r="932" spans="1:9" s="135" customFormat="1" x14ac:dyDescent="0.25">
      <c r="A932" s="135" t="s">
        <v>179</v>
      </c>
      <c r="B932" s="166" t="s">
        <v>2045</v>
      </c>
      <c r="C932" s="136" t="s">
        <v>804</v>
      </c>
      <c r="D932" s="136" t="s">
        <v>442</v>
      </c>
      <c r="E932" s="136" t="s">
        <v>13</v>
      </c>
      <c r="F932" s="136" t="s">
        <v>2046</v>
      </c>
      <c r="G932" s="136">
        <v>1</v>
      </c>
      <c r="H932" s="136">
        <v>29000</v>
      </c>
      <c r="I932" s="137">
        <f t="shared" si="42"/>
        <v>78000</v>
      </c>
    </row>
    <row r="933" spans="1:9" s="135" customFormat="1" x14ac:dyDescent="0.25">
      <c r="A933" s="135" t="s">
        <v>241</v>
      </c>
      <c r="B933" s="166" t="s">
        <v>269</v>
      </c>
      <c r="C933" s="136" t="s">
        <v>254</v>
      </c>
      <c r="D933" s="136" t="s">
        <v>353</v>
      </c>
      <c r="E933" s="136" t="s">
        <v>13</v>
      </c>
      <c r="G933" s="136">
        <v>1</v>
      </c>
      <c r="H933" s="137">
        <v>26000</v>
      </c>
      <c r="I933" s="144">
        <f t="shared" si="42"/>
        <v>72000</v>
      </c>
    </row>
    <row r="934" spans="1:9" s="135" customFormat="1" ht="12" customHeight="1" x14ac:dyDescent="0.25">
      <c r="A934" s="135" t="s">
        <v>245</v>
      </c>
      <c r="B934" s="166" t="s">
        <v>1035</v>
      </c>
      <c r="C934" s="136" t="s">
        <v>103</v>
      </c>
      <c r="D934" s="136" t="s">
        <v>1877</v>
      </c>
      <c r="E934" s="136" t="s">
        <v>13</v>
      </c>
      <c r="F934" s="136" t="s">
        <v>2050</v>
      </c>
      <c r="G934" s="136">
        <v>1</v>
      </c>
      <c r="H934" s="136">
        <v>33000</v>
      </c>
      <c r="I934" s="144">
        <f t="shared" si="42"/>
        <v>86000</v>
      </c>
    </row>
    <row r="935" spans="1:9" s="135" customFormat="1" ht="12" customHeight="1" x14ac:dyDescent="0.25">
      <c r="A935" s="135" t="s">
        <v>483</v>
      </c>
      <c r="B935" s="166" t="s">
        <v>792</v>
      </c>
      <c r="C935" s="136"/>
      <c r="D935" s="136" t="s">
        <v>2051</v>
      </c>
      <c r="E935" s="136" t="s">
        <v>13</v>
      </c>
      <c r="F935" s="136" t="s">
        <v>2050</v>
      </c>
      <c r="G935" s="136">
        <v>8</v>
      </c>
      <c r="H935" s="136"/>
      <c r="I935" s="144"/>
    </row>
    <row r="936" spans="1:9" s="135" customFormat="1" x14ac:dyDescent="0.25">
      <c r="A936" s="135" t="s">
        <v>225</v>
      </c>
      <c r="B936" s="166" t="s">
        <v>2061</v>
      </c>
      <c r="C936" s="136" t="s">
        <v>176</v>
      </c>
      <c r="D936" s="136" t="s">
        <v>2060</v>
      </c>
      <c r="E936" s="136" t="s">
        <v>2062</v>
      </c>
      <c r="G936" s="136">
        <v>1</v>
      </c>
      <c r="H936" s="136"/>
      <c r="I936" s="144"/>
    </row>
    <row r="937" spans="1:9" s="135" customFormat="1" x14ac:dyDescent="0.25">
      <c r="B937" s="166" t="s">
        <v>2066</v>
      </c>
      <c r="C937" s="136" t="s">
        <v>2067</v>
      </c>
      <c r="D937" s="136" t="s">
        <v>32</v>
      </c>
      <c r="E937" s="136" t="s">
        <v>13</v>
      </c>
      <c r="G937" s="136">
        <v>1</v>
      </c>
      <c r="H937" s="136"/>
      <c r="I937" s="144"/>
    </row>
    <row r="939" spans="1:9" x14ac:dyDescent="0.25">
      <c r="C939" s="1" t="s">
        <v>2059</v>
      </c>
    </row>
  </sheetData>
  <autoFilter ref="A1:I401" xr:uid="{00000000-0001-0000-0000-000000000000}"/>
  <sortState xmlns:xlrd2="http://schemas.microsoft.com/office/spreadsheetml/2017/richdata2" ref="A2:J401">
    <sortCondition ref="A1:A401"/>
  </sortState>
  <printOptions horizontalCentered="1" verticalCentered="1"/>
  <pageMargins left="0.31527777777777799" right="0.31527777777777799" top="0.35416666666666702" bottom="0.74791666666666701" header="0.511811023622047" footer="0.511811023622047"/>
  <pageSetup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C4CC-B00A-45F0-B641-E956E589D5CC}">
  <sheetPr filterMode="1">
    <tabColor rgb="FF0070C0"/>
  </sheetPr>
  <dimension ref="A2:I385"/>
  <sheetViews>
    <sheetView workbookViewId="0">
      <selection activeCell="D117" sqref="D117"/>
    </sheetView>
  </sheetViews>
  <sheetFormatPr baseColWidth="10" defaultRowHeight="15" x14ac:dyDescent="0.25"/>
  <cols>
    <col min="1" max="1" width="28.140625" customWidth="1"/>
    <col min="2" max="2" width="37.28515625" customWidth="1"/>
    <col min="3" max="3" width="20.42578125" customWidth="1"/>
    <col min="4" max="4" width="26.140625" customWidth="1"/>
    <col min="5" max="5" width="28.7109375" customWidth="1"/>
    <col min="6" max="6" width="19.140625" customWidth="1"/>
    <col min="7" max="7" width="16.7109375" style="1" customWidth="1"/>
    <col min="8" max="8" width="17.42578125" customWidth="1"/>
  </cols>
  <sheetData>
    <row r="2" spans="1:9" x14ac:dyDescent="0.25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4" t="s">
        <v>5</v>
      </c>
      <c r="G2" s="5" t="s">
        <v>6</v>
      </c>
      <c r="H2" s="6" t="s">
        <v>7</v>
      </c>
      <c r="I2" s="7" t="s">
        <v>8</v>
      </c>
    </row>
    <row r="3" spans="1:9" hidden="1" x14ac:dyDescent="0.25">
      <c r="A3" t="s">
        <v>1247</v>
      </c>
      <c r="B3" t="s">
        <v>1731</v>
      </c>
      <c r="C3" t="s">
        <v>941</v>
      </c>
      <c r="D3" t="s">
        <v>1728</v>
      </c>
      <c r="F3" t="s">
        <v>1732</v>
      </c>
      <c r="G3" s="1">
        <v>1</v>
      </c>
    </row>
    <row r="4" spans="1:9" hidden="1" x14ac:dyDescent="0.25">
      <c r="A4" s="94" t="s">
        <v>132</v>
      </c>
      <c r="B4" s="94"/>
      <c r="C4" s="94"/>
      <c r="D4" s="94" t="s">
        <v>1812</v>
      </c>
      <c r="E4" s="94" t="s">
        <v>1309</v>
      </c>
      <c r="F4" s="94" t="s">
        <v>537</v>
      </c>
      <c r="G4" s="95">
        <v>1</v>
      </c>
    </row>
    <row r="5" spans="1:9" hidden="1" x14ac:dyDescent="0.25">
      <c r="A5" t="s">
        <v>952</v>
      </c>
      <c r="B5" t="s">
        <v>1234</v>
      </c>
      <c r="C5" t="s">
        <v>377</v>
      </c>
      <c r="D5" t="s">
        <v>1680</v>
      </c>
      <c r="E5" t="s">
        <v>1320</v>
      </c>
      <c r="G5" s="1">
        <v>1</v>
      </c>
    </row>
    <row r="6" spans="1:9" hidden="1" x14ac:dyDescent="0.25">
      <c r="A6" t="s">
        <v>952</v>
      </c>
      <c r="B6" t="s">
        <v>1234</v>
      </c>
      <c r="C6" t="s">
        <v>377</v>
      </c>
      <c r="D6" t="s">
        <v>1682</v>
      </c>
      <c r="E6" t="s">
        <v>1323</v>
      </c>
      <c r="G6" s="1">
        <v>1</v>
      </c>
    </row>
    <row r="7" spans="1:9" hidden="1" x14ac:dyDescent="0.25">
      <c r="A7" t="s">
        <v>84</v>
      </c>
      <c r="B7" t="s">
        <v>877</v>
      </c>
      <c r="C7" t="s">
        <v>310</v>
      </c>
      <c r="D7" t="s">
        <v>1726</v>
      </c>
      <c r="E7" t="s">
        <v>1271</v>
      </c>
      <c r="G7" s="1">
        <v>1</v>
      </c>
    </row>
    <row r="8" spans="1:9" hidden="1" x14ac:dyDescent="0.25">
      <c r="A8" t="s">
        <v>84</v>
      </c>
      <c r="B8" t="s">
        <v>1791</v>
      </c>
      <c r="C8" t="s">
        <v>287</v>
      </c>
      <c r="D8" t="s">
        <v>1790</v>
      </c>
      <c r="E8" t="s">
        <v>1302</v>
      </c>
      <c r="G8" s="1">
        <v>1</v>
      </c>
    </row>
    <row r="9" spans="1:9" hidden="1" x14ac:dyDescent="0.25">
      <c r="A9" t="s">
        <v>598</v>
      </c>
      <c r="B9" t="s">
        <v>599</v>
      </c>
      <c r="C9" t="s">
        <v>166</v>
      </c>
      <c r="D9" t="s">
        <v>1766</v>
      </c>
      <c r="E9" t="s">
        <v>1323</v>
      </c>
      <c r="G9" s="1">
        <v>1</v>
      </c>
    </row>
    <row r="10" spans="1:9" hidden="1" x14ac:dyDescent="0.25">
      <c r="A10" t="s">
        <v>245</v>
      </c>
      <c r="B10" t="s">
        <v>1321</v>
      </c>
      <c r="C10" t="s">
        <v>635</v>
      </c>
      <c r="D10" t="s">
        <v>1663</v>
      </c>
      <c r="E10" t="s">
        <v>1309</v>
      </c>
      <c r="G10" s="1">
        <v>0</v>
      </c>
    </row>
    <row r="11" spans="1:9" hidden="1" x14ac:dyDescent="0.25">
      <c r="A11" t="s">
        <v>245</v>
      </c>
      <c r="B11" t="s">
        <v>1673</v>
      </c>
      <c r="C11" t="s">
        <v>863</v>
      </c>
      <c r="D11" t="s">
        <v>1672</v>
      </c>
      <c r="E11" t="s">
        <v>1309</v>
      </c>
      <c r="G11" s="1">
        <v>1</v>
      </c>
    </row>
    <row r="12" spans="1:9" hidden="1" x14ac:dyDescent="0.25">
      <c r="A12" t="s">
        <v>245</v>
      </c>
      <c r="B12" t="s">
        <v>1035</v>
      </c>
      <c r="C12" t="s">
        <v>197</v>
      </c>
      <c r="D12" t="s">
        <v>1675</v>
      </c>
      <c r="E12" t="s">
        <v>1320</v>
      </c>
      <c r="G12" s="1">
        <v>0</v>
      </c>
    </row>
    <row r="13" spans="1:9" hidden="1" x14ac:dyDescent="0.25">
      <c r="A13" s="96" t="s">
        <v>195</v>
      </c>
      <c r="B13" s="96" t="s">
        <v>196</v>
      </c>
      <c r="C13" s="96" t="s">
        <v>1311</v>
      </c>
      <c r="D13" s="96" t="s">
        <v>1838</v>
      </c>
      <c r="E13" s="96" t="s">
        <v>1261</v>
      </c>
      <c r="F13" s="96" t="s">
        <v>1839</v>
      </c>
      <c r="G13" s="95">
        <v>0</v>
      </c>
      <c r="H13" s="96"/>
      <c r="I13" s="96"/>
    </row>
    <row r="14" spans="1:9" hidden="1" x14ac:dyDescent="0.25">
      <c r="A14" t="s">
        <v>245</v>
      </c>
      <c r="B14" t="s">
        <v>1687</v>
      </c>
      <c r="C14" t="s">
        <v>1019</v>
      </c>
      <c r="D14" t="s">
        <v>1688</v>
      </c>
      <c r="E14" t="s">
        <v>1264</v>
      </c>
      <c r="G14" s="1">
        <v>1</v>
      </c>
    </row>
    <row r="15" spans="1:9" hidden="1" x14ac:dyDescent="0.25">
      <c r="A15" t="s">
        <v>245</v>
      </c>
      <c r="B15" t="s">
        <v>815</v>
      </c>
      <c r="C15">
        <v>1989</v>
      </c>
      <c r="D15" t="s">
        <v>1686</v>
      </c>
      <c r="E15" t="s">
        <v>1309</v>
      </c>
      <c r="G15" s="1">
        <v>0</v>
      </c>
    </row>
    <row r="16" spans="1:9" hidden="1" x14ac:dyDescent="0.25">
      <c r="A16" t="s">
        <v>245</v>
      </c>
      <c r="B16" t="s">
        <v>1689</v>
      </c>
      <c r="C16">
        <v>1988</v>
      </c>
      <c r="D16" t="s">
        <v>1686</v>
      </c>
      <c r="E16" t="s">
        <v>1323</v>
      </c>
      <c r="G16" s="1">
        <v>1</v>
      </c>
    </row>
    <row r="17" spans="1:7" hidden="1" x14ac:dyDescent="0.25">
      <c r="A17" t="s">
        <v>245</v>
      </c>
      <c r="B17" t="s">
        <v>1673</v>
      </c>
      <c r="C17" t="s">
        <v>19</v>
      </c>
      <c r="D17" t="s">
        <v>1698</v>
      </c>
      <c r="E17" t="s">
        <v>1302</v>
      </c>
      <c r="G17" s="1">
        <v>1</v>
      </c>
    </row>
    <row r="18" spans="1:7" hidden="1" x14ac:dyDescent="0.25">
      <c r="A18" t="s">
        <v>245</v>
      </c>
      <c r="B18" t="s">
        <v>815</v>
      </c>
      <c r="C18" t="s">
        <v>1702</v>
      </c>
      <c r="D18" t="s">
        <v>1698</v>
      </c>
      <c r="E18" t="s">
        <v>1302</v>
      </c>
      <c r="G18" s="1">
        <v>0</v>
      </c>
    </row>
    <row r="19" spans="1:7" hidden="1" x14ac:dyDescent="0.25">
      <c r="A19" t="s">
        <v>245</v>
      </c>
      <c r="B19" t="s">
        <v>1704</v>
      </c>
      <c r="C19" t="s">
        <v>328</v>
      </c>
      <c r="D19" t="s">
        <v>1698</v>
      </c>
      <c r="E19" t="s">
        <v>1302</v>
      </c>
      <c r="G19" s="1">
        <v>1</v>
      </c>
    </row>
    <row r="20" spans="1:7" hidden="1" x14ac:dyDescent="0.25">
      <c r="A20" t="s">
        <v>245</v>
      </c>
      <c r="B20" t="s">
        <v>358</v>
      </c>
      <c r="C20" t="s">
        <v>119</v>
      </c>
      <c r="D20" t="s">
        <v>1703</v>
      </c>
      <c r="E20" t="s">
        <v>1323</v>
      </c>
      <c r="G20" s="1">
        <v>1</v>
      </c>
    </row>
    <row r="21" spans="1:7" hidden="1" x14ac:dyDescent="0.25">
      <c r="A21" t="s">
        <v>245</v>
      </c>
      <c r="B21" t="s">
        <v>1707</v>
      </c>
      <c r="C21" t="s">
        <v>210</v>
      </c>
      <c r="D21" t="s">
        <v>1705</v>
      </c>
      <c r="E21" t="s">
        <v>1323</v>
      </c>
      <c r="G21" s="1">
        <v>1</v>
      </c>
    </row>
    <row r="22" spans="1:7" hidden="1" x14ac:dyDescent="0.25">
      <c r="A22" t="s">
        <v>245</v>
      </c>
      <c r="B22" t="s">
        <v>1275</v>
      </c>
      <c r="C22" t="s">
        <v>1259</v>
      </c>
      <c r="D22" t="s">
        <v>1712</v>
      </c>
      <c r="E22" t="s">
        <v>1323</v>
      </c>
      <c r="G22" s="1">
        <v>1</v>
      </c>
    </row>
    <row r="23" spans="1:7" hidden="1" x14ac:dyDescent="0.25">
      <c r="A23" t="s">
        <v>245</v>
      </c>
      <c r="B23" t="s">
        <v>1275</v>
      </c>
      <c r="C23" t="s">
        <v>100</v>
      </c>
      <c r="D23" t="s">
        <v>1736</v>
      </c>
      <c r="E23" t="s">
        <v>1309</v>
      </c>
      <c r="G23" s="1">
        <v>4</v>
      </c>
    </row>
    <row r="24" spans="1:7" hidden="1" x14ac:dyDescent="0.25">
      <c r="A24" t="s">
        <v>245</v>
      </c>
      <c r="B24" t="s">
        <v>1737</v>
      </c>
      <c r="C24" t="s">
        <v>1738</v>
      </c>
      <c r="D24" t="s">
        <v>1736</v>
      </c>
      <c r="E24" t="s">
        <v>1320</v>
      </c>
      <c r="G24" s="1">
        <v>2</v>
      </c>
    </row>
    <row r="25" spans="1:7" hidden="1" x14ac:dyDescent="0.25">
      <c r="A25" t="s">
        <v>245</v>
      </c>
      <c r="B25" t="s">
        <v>1275</v>
      </c>
      <c r="C25" t="s">
        <v>1276</v>
      </c>
      <c r="D25" t="s">
        <v>1736</v>
      </c>
      <c r="E25" t="s">
        <v>1309</v>
      </c>
      <c r="G25" s="1">
        <v>2</v>
      </c>
    </row>
    <row r="26" spans="1:7" hidden="1" x14ac:dyDescent="0.25">
      <c r="A26" t="s">
        <v>245</v>
      </c>
      <c r="B26" t="s">
        <v>1275</v>
      </c>
      <c r="C26" t="s">
        <v>100</v>
      </c>
      <c r="D26" t="s">
        <v>1750</v>
      </c>
      <c r="E26" t="s">
        <v>1309</v>
      </c>
      <c r="G26" s="1">
        <v>1</v>
      </c>
    </row>
    <row r="27" spans="1:7" hidden="1" x14ac:dyDescent="0.25">
      <c r="A27" t="s">
        <v>245</v>
      </c>
      <c r="B27" t="s">
        <v>217</v>
      </c>
      <c r="C27" t="s">
        <v>345</v>
      </c>
      <c r="D27" t="s">
        <v>1761</v>
      </c>
      <c r="E27" t="s">
        <v>1309</v>
      </c>
      <c r="G27" s="1">
        <v>1</v>
      </c>
    </row>
    <row r="28" spans="1:7" hidden="1" x14ac:dyDescent="0.25">
      <c r="A28" t="s">
        <v>245</v>
      </c>
      <c r="B28" t="s">
        <v>1689</v>
      </c>
      <c r="C28" t="s">
        <v>720</v>
      </c>
      <c r="D28" t="s">
        <v>1679</v>
      </c>
      <c r="E28" t="s">
        <v>1320</v>
      </c>
      <c r="G28" s="1">
        <v>1</v>
      </c>
    </row>
    <row r="29" spans="1:7" hidden="1" x14ac:dyDescent="0.25">
      <c r="A29" t="s">
        <v>245</v>
      </c>
      <c r="B29" t="s">
        <v>1267</v>
      </c>
      <c r="C29" t="s">
        <v>37</v>
      </c>
      <c r="D29" t="s">
        <v>1771</v>
      </c>
      <c r="E29" t="s">
        <v>1323</v>
      </c>
      <c r="G29" s="1">
        <v>1</v>
      </c>
    </row>
    <row r="30" spans="1:7" hidden="1" x14ac:dyDescent="0.25">
      <c r="A30" t="s">
        <v>245</v>
      </c>
      <c r="B30" t="s">
        <v>1267</v>
      </c>
      <c r="C30" t="s">
        <v>253</v>
      </c>
      <c r="D30" t="s">
        <v>1771</v>
      </c>
      <c r="E30" t="s">
        <v>1323</v>
      </c>
      <c r="G30" s="1">
        <v>1</v>
      </c>
    </row>
    <row r="31" spans="1:7" hidden="1" x14ac:dyDescent="0.25">
      <c r="A31" t="s">
        <v>245</v>
      </c>
      <c r="B31" t="s">
        <v>1267</v>
      </c>
      <c r="C31" t="s">
        <v>253</v>
      </c>
      <c r="D31" t="s">
        <v>1777</v>
      </c>
      <c r="E31" t="s">
        <v>1320</v>
      </c>
      <c r="G31" s="1">
        <v>1</v>
      </c>
    </row>
    <row r="32" spans="1:7" hidden="1" x14ac:dyDescent="0.25">
      <c r="A32" t="s">
        <v>245</v>
      </c>
      <c r="B32" t="s">
        <v>1788</v>
      </c>
      <c r="C32" t="s">
        <v>1282</v>
      </c>
      <c r="D32" t="s">
        <v>1787</v>
      </c>
      <c r="E32" t="s">
        <v>1323</v>
      </c>
      <c r="G32" s="1">
        <v>3</v>
      </c>
    </row>
    <row r="33" spans="1:9" hidden="1" x14ac:dyDescent="0.25">
      <c r="A33" t="s">
        <v>245</v>
      </c>
      <c r="B33" t="s">
        <v>815</v>
      </c>
      <c r="C33" t="s">
        <v>1282</v>
      </c>
      <c r="D33" t="s">
        <v>1787</v>
      </c>
      <c r="E33" t="s">
        <v>1323</v>
      </c>
      <c r="G33" s="1">
        <v>2</v>
      </c>
    </row>
    <row r="34" spans="1:9" hidden="1" x14ac:dyDescent="0.25">
      <c r="A34" s="132" t="s">
        <v>245</v>
      </c>
      <c r="B34" s="132" t="s">
        <v>1789</v>
      </c>
      <c r="C34" s="132" t="s">
        <v>1284</v>
      </c>
      <c r="D34" s="132" t="s">
        <v>1787</v>
      </c>
      <c r="E34" s="132" t="s">
        <v>1323</v>
      </c>
      <c r="F34" s="132"/>
      <c r="G34" s="133">
        <v>1</v>
      </c>
      <c r="H34" s="132"/>
      <c r="I34" s="132"/>
    </row>
    <row r="35" spans="1:9" hidden="1" x14ac:dyDescent="0.25">
      <c r="A35" t="s">
        <v>245</v>
      </c>
      <c r="B35" t="s">
        <v>1793</v>
      </c>
      <c r="C35" t="s">
        <v>1096</v>
      </c>
      <c r="D35" t="s">
        <v>1790</v>
      </c>
      <c r="E35" t="s">
        <v>1309</v>
      </c>
      <c r="G35" s="1">
        <v>1</v>
      </c>
    </row>
    <row r="36" spans="1:9" hidden="1" x14ac:dyDescent="0.25">
      <c r="A36" s="96" t="s">
        <v>245</v>
      </c>
      <c r="B36" s="96" t="s">
        <v>1275</v>
      </c>
      <c r="C36" s="96" t="s">
        <v>1718</v>
      </c>
      <c r="D36" s="96" t="s">
        <v>1845</v>
      </c>
      <c r="E36" s="96" t="s">
        <v>1846</v>
      </c>
      <c r="F36" s="96"/>
      <c r="G36" s="97">
        <v>1</v>
      </c>
      <c r="H36" s="96"/>
      <c r="I36" s="96"/>
    </row>
    <row r="37" spans="1:9" hidden="1" x14ac:dyDescent="0.25">
      <c r="A37" s="96" t="s">
        <v>245</v>
      </c>
      <c r="B37" s="96" t="s">
        <v>1851</v>
      </c>
      <c r="C37" s="96" t="s">
        <v>1847</v>
      </c>
      <c r="D37" s="96" t="s">
        <v>1848</v>
      </c>
      <c r="E37" s="96" t="s">
        <v>1714</v>
      </c>
      <c r="F37" s="96"/>
      <c r="G37" s="97">
        <v>1</v>
      </c>
      <c r="H37" s="96"/>
      <c r="I37" s="96"/>
    </row>
    <row r="38" spans="1:9" hidden="1" x14ac:dyDescent="0.25">
      <c r="A38" s="94" t="s">
        <v>245</v>
      </c>
      <c r="B38" s="94" t="s">
        <v>1928</v>
      </c>
      <c r="C38" s="94"/>
      <c r="D38" s="94" t="s">
        <v>1784</v>
      </c>
      <c r="E38" s="94" t="s">
        <v>1302</v>
      </c>
      <c r="F38" s="94" t="s">
        <v>537</v>
      </c>
      <c r="G38" s="95">
        <v>1</v>
      </c>
    </row>
    <row r="39" spans="1:9" hidden="1" x14ac:dyDescent="0.25">
      <c r="A39" t="s">
        <v>245</v>
      </c>
      <c r="B39" t="s">
        <v>1793</v>
      </c>
      <c r="D39" t="s">
        <v>1977</v>
      </c>
      <c r="E39" t="s">
        <v>1302</v>
      </c>
      <c r="G39" s="1">
        <v>1</v>
      </c>
    </row>
    <row r="40" spans="1:9" hidden="1" x14ac:dyDescent="0.25">
      <c r="A40" t="s">
        <v>245</v>
      </c>
      <c r="B40" t="s">
        <v>1793</v>
      </c>
      <c r="D40" t="s">
        <v>1977</v>
      </c>
      <c r="E40" t="s">
        <v>1320</v>
      </c>
      <c r="G40" s="1">
        <v>1</v>
      </c>
    </row>
    <row r="41" spans="1:9" hidden="1" x14ac:dyDescent="0.25">
      <c r="A41" s="94" t="s">
        <v>238</v>
      </c>
      <c r="B41" s="94" t="s">
        <v>718</v>
      </c>
      <c r="C41" s="94" t="s">
        <v>108</v>
      </c>
      <c r="D41" s="94" t="s">
        <v>1837</v>
      </c>
      <c r="E41" s="94" t="s">
        <v>1827</v>
      </c>
      <c r="F41" s="94"/>
      <c r="G41" s="95">
        <v>1</v>
      </c>
      <c r="H41" s="94"/>
      <c r="I41" s="94"/>
    </row>
    <row r="42" spans="1:9" hidden="1" x14ac:dyDescent="0.25">
      <c r="A42" s="94" t="s">
        <v>238</v>
      </c>
      <c r="B42" s="94" t="s">
        <v>1247</v>
      </c>
      <c r="C42" s="94" t="s">
        <v>652</v>
      </c>
      <c r="D42" s="94" t="s">
        <v>1837</v>
      </c>
      <c r="E42" s="94" t="s">
        <v>1272</v>
      </c>
      <c r="F42" s="94"/>
      <c r="G42" s="95">
        <v>1</v>
      </c>
      <c r="H42" s="94"/>
      <c r="I42" s="94"/>
    </row>
    <row r="43" spans="1:9" hidden="1" x14ac:dyDescent="0.25">
      <c r="A43" s="94" t="s">
        <v>238</v>
      </c>
      <c r="B43" s="94" t="s">
        <v>1247</v>
      </c>
      <c r="C43" s="94" t="s">
        <v>958</v>
      </c>
      <c r="D43" s="94" t="s">
        <v>1837</v>
      </c>
      <c r="E43" s="94" t="s">
        <v>1272</v>
      </c>
      <c r="F43" s="94" t="s">
        <v>24</v>
      </c>
      <c r="G43" s="95">
        <v>1</v>
      </c>
      <c r="H43" s="94"/>
      <c r="I43" s="94"/>
    </row>
    <row r="44" spans="1:9" hidden="1" x14ac:dyDescent="0.25">
      <c r="A44" s="96" t="s">
        <v>238</v>
      </c>
      <c r="B44" s="96" t="s">
        <v>426</v>
      </c>
      <c r="C44" s="96" t="s">
        <v>29</v>
      </c>
      <c r="D44" s="96" t="s">
        <v>1838</v>
      </c>
      <c r="E44" s="96" t="s">
        <v>1261</v>
      </c>
      <c r="F44" s="96"/>
      <c r="G44" s="95">
        <v>1</v>
      </c>
      <c r="H44" s="96"/>
      <c r="I44" s="96"/>
    </row>
    <row r="45" spans="1:9" hidden="1" x14ac:dyDescent="0.25">
      <c r="A45" s="96" t="s">
        <v>238</v>
      </c>
      <c r="B45" s="96" t="s">
        <v>1843</v>
      </c>
      <c r="C45" s="96" t="s">
        <v>1311</v>
      </c>
      <c r="D45" s="96" t="s">
        <v>1838</v>
      </c>
      <c r="E45" s="96" t="s">
        <v>1324</v>
      </c>
      <c r="F45" s="96" t="s">
        <v>250</v>
      </c>
      <c r="G45" s="97">
        <v>1</v>
      </c>
      <c r="H45" s="96"/>
      <c r="I45" s="96"/>
    </row>
    <row r="46" spans="1:9" hidden="1" x14ac:dyDescent="0.25">
      <c r="A46" s="94" t="s">
        <v>238</v>
      </c>
      <c r="B46" s="94" t="s">
        <v>1247</v>
      </c>
      <c r="C46" s="94"/>
      <c r="D46" s="94" t="s">
        <v>1809</v>
      </c>
      <c r="E46" s="94" t="s">
        <v>1914</v>
      </c>
      <c r="F46" s="94" t="s">
        <v>537</v>
      </c>
      <c r="G46" s="95">
        <v>1</v>
      </c>
      <c r="H46" s="94"/>
      <c r="I46" s="94"/>
    </row>
    <row r="47" spans="1:9" hidden="1" x14ac:dyDescent="0.25">
      <c r="A47" t="s">
        <v>245</v>
      </c>
      <c r="B47" t="s">
        <v>417</v>
      </c>
      <c r="C47" t="s">
        <v>377</v>
      </c>
      <c r="D47" t="s">
        <v>1645</v>
      </c>
      <c r="E47" t="s">
        <v>1320</v>
      </c>
      <c r="G47" s="1">
        <v>1</v>
      </c>
    </row>
    <row r="48" spans="1:9" hidden="1" x14ac:dyDescent="0.25">
      <c r="A48" s="132" t="s">
        <v>245</v>
      </c>
      <c r="B48" s="132" t="s">
        <v>2058</v>
      </c>
      <c r="C48" s="132" t="s">
        <v>176</v>
      </c>
      <c r="D48" s="132" t="s">
        <v>1679</v>
      </c>
      <c r="E48" s="132" t="s">
        <v>1302</v>
      </c>
      <c r="F48" s="132"/>
      <c r="G48" s="133">
        <v>1</v>
      </c>
      <c r="H48" s="132"/>
      <c r="I48" s="132"/>
    </row>
    <row r="49" spans="1:9" hidden="1" x14ac:dyDescent="0.25">
      <c r="A49" s="94" t="s">
        <v>238</v>
      </c>
      <c r="B49" s="94" t="s">
        <v>239</v>
      </c>
      <c r="C49" s="94"/>
      <c r="D49" s="94" t="s">
        <v>1778</v>
      </c>
      <c r="E49" s="94"/>
      <c r="F49" s="94" t="s">
        <v>537</v>
      </c>
      <c r="G49" s="95">
        <v>1</v>
      </c>
    </row>
    <row r="50" spans="1:9" s="135" customFormat="1" hidden="1" x14ac:dyDescent="0.25">
      <c r="A50" t="s">
        <v>1665</v>
      </c>
      <c r="B50" t="s">
        <v>1666</v>
      </c>
      <c r="C50" t="s">
        <v>472</v>
      </c>
      <c r="D50" t="s">
        <v>1664</v>
      </c>
      <c r="E50" t="s">
        <v>2015</v>
      </c>
      <c r="F50" t="s">
        <v>1607</v>
      </c>
      <c r="G50" s="1">
        <v>1</v>
      </c>
      <c r="H50"/>
      <c r="I50"/>
    </row>
    <row r="51" spans="1:9" hidden="1" x14ac:dyDescent="0.25">
      <c r="A51" t="s">
        <v>1665</v>
      </c>
      <c r="B51" t="s">
        <v>1669</v>
      </c>
      <c r="C51" t="s">
        <v>472</v>
      </c>
      <c r="D51" t="s">
        <v>1668</v>
      </c>
      <c r="E51" t="s">
        <v>1323</v>
      </c>
      <c r="G51" s="1">
        <v>1</v>
      </c>
    </row>
    <row r="52" spans="1:9" s="135" customFormat="1" hidden="1" x14ac:dyDescent="0.25">
      <c r="A52" t="s">
        <v>1798</v>
      </c>
      <c r="B52" t="s">
        <v>1275</v>
      </c>
      <c r="C52" t="s">
        <v>1276</v>
      </c>
      <c r="D52" t="s">
        <v>1790</v>
      </c>
      <c r="E52" t="s">
        <v>1320</v>
      </c>
      <c r="F52"/>
      <c r="G52" s="1">
        <v>1</v>
      </c>
      <c r="H52"/>
      <c r="I52"/>
    </row>
    <row r="53" spans="1:9" s="135" customFormat="1" hidden="1" x14ac:dyDescent="0.25">
      <c r="A53" t="s">
        <v>1694</v>
      </c>
      <c r="B53" t="s">
        <v>1695</v>
      </c>
      <c r="C53"/>
      <c r="D53" t="s">
        <v>1693</v>
      </c>
      <c r="E53" t="s">
        <v>1320</v>
      </c>
      <c r="F53"/>
      <c r="G53" s="1">
        <v>1</v>
      </c>
      <c r="H53"/>
      <c r="I53"/>
    </row>
    <row r="54" spans="1:9" s="135" customFormat="1" hidden="1" x14ac:dyDescent="0.25">
      <c r="A54" t="s">
        <v>258</v>
      </c>
      <c r="B54" t="s">
        <v>302</v>
      </c>
      <c r="C54" t="s">
        <v>197</v>
      </c>
      <c r="D54" t="s">
        <v>1658</v>
      </c>
      <c r="E54" t="s">
        <v>1309</v>
      </c>
      <c r="F54"/>
      <c r="G54" s="1">
        <v>1</v>
      </c>
      <c r="H54"/>
      <c r="I54"/>
    </row>
    <row r="55" spans="1:9" hidden="1" x14ac:dyDescent="0.25">
      <c r="A55" t="s">
        <v>258</v>
      </c>
      <c r="B55" t="s">
        <v>1676</v>
      </c>
      <c r="C55" t="s">
        <v>29</v>
      </c>
      <c r="D55" t="s">
        <v>1675</v>
      </c>
      <c r="E55" t="s">
        <v>1302</v>
      </c>
      <c r="G55" s="1">
        <v>1</v>
      </c>
    </row>
    <row r="56" spans="1:9" hidden="1" x14ac:dyDescent="0.25">
      <c r="A56" t="s">
        <v>258</v>
      </c>
      <c r="B56" t="s">
        <v>302</v>
      </c>
      <c r="C56" t="s">
        <v>521</v>
      </c>
      <c r="D56" t="s">
        <v>1685</v>
      </c>
      <c r="E56" t="s">
        <v>1302</v>
      </c>
      <c r="G56" s="1">
        <v>1</v>
      </c>
    </row>
    <row r="57" spans="1:9" hidden="1" x14ac:dyDescent="0.25">
      <c r="A57" t="s">
        <v>258</v>
      </c>
      <c r="B57">
        <v>3</v>
      </c>
      <c r="C57" t="s">
        <v>1317</v>
      </c>
      <c r="D57" t="s">
        <v>1713</v>
      </c>
      <c r="E57" t="s">
        <v>1320</v>
      </c>
      <c r="G57" s="1">
        <v>1</v>
      </c>
    </row>
    <row r="58" spans="1:9" hidden="1" x14ac:dyDescent="0.25">
      <c r="A58" t="s">
        <v>258</v>
      </c>
      <c r="B58" t="s">
        <v>1266</v>
      </c>
      <c r="C58" t="s">
        <v>941</v>
      </c>
      <c r="D58" t="s">
        <v>1727</v>
      </c>
      <c r="E58" t="s">
        <v>1320</v>
      </c>
      <c r="G58" s="1">
        <v>1</v>
      </c>
    </row>
    <row r="59" spans="1:9" hidden="1" x14ac:dyDescent="0.25">
      <c r="A59" t="s">
        <v>179</v>
      </c>
      <c r="B59" t="s">
        <v>1717</v>
      </c>
      <c r="C59" t="s">
        <v>1281</v>
      </c>
      <c r="D59" t="s">
        <v>1715</v>
      </c>
      <c r="E59" t="s">
        <v>1272</v>
      </c>
      <c r="G59" s="1">
        <v>1</v>
      </c>
    </row>
    <row r="60" spans="1:9" hidden="1" x14ac:dyDescent="0.25">
      <c r="A60" t="s">
        <v>258</v>
      </c>
      <c r="B60" t="s">
        <v>302</v>
      </c>
      <c r="C60" t="s">
        <v>19</v>
      </c>
      <c r="D60" t="s">
        <v>1755</v>
      </c>
      <c r="E60" t="s">
        <v>1302</v>
      </c>
      <c r="G60" s="1">
        <v>1</v>
      </c>
    </row>
    <row r="61" spans="1:9" hidden="1" x14ac:dyDescent="0.25">
      <c r="A61" t="s">
        <v>258</v>
      </c>
      <c r="B61" t="s">
        <v>1757</v>
      </c>
      <c r="C61" t="s">
        <v>1262</v>
      </c>
      <c r="D61" t="s">
        <v>1755</v>
      </c>
      <c r="E61" t="s">
        <v>1302</v>
      </c>
      <c r="G61" s="1">
        <v>1</v>
      </c>
    </row>
    <row r="62" spans="1:9" hidden="1" x14ac:dyDescent="0.25">
      <c r="A62" t="s">
        <v>258</v>
      </c>
      <c r="B62" t="s">
        <v>1757</v>
      </c>
      <c r="C62" t="s">
        <v>1769</v>
      </c>
      <c r="D62" t="s">
        <v>1766</v>
      </c>
      <c r="E62" t="s">
        <v>1309</v>
      </c>
      <c r="G62" s="1">
        <v>1</v>
      </c>
    </row>
    <row r="63" spans="1:9" hidden="1" x14ac:dyDescent="0.25">
      <c r="A63" t="s">
        <v>258</v>
      </c>
      <c r="B63" t="s">
        <v>293</v>
      </c>
      <c r="D63" t="s">
        <v>1771</v>
      </c>
      <c r="E63" t="s">
        <v>1323</v>
      </c>
      <c r="G63" s="1">
        <v>1</v>
      </c>
    </row>
    <row r="64" spans="1:9" hidden="1" x14ac:dyDescent="0.25">
      <c r="A64" t="s">
        <v>258</v>
      </c>
      <c r="B64" t="s">
        <v>293</v>
      </c>
      <c r="C64" t="s">
        <v>1781</v>
      </c>
      <c r="D64" t="s">
        <v>1780</v>
      </c>
      <c r="E64" t="s">
        <v>1323</v>
      </c>
      <c r="G64" s="1">
        <v>1</v>
      </c>
    </row>
    <row r="65" spans="1:9" hidden="1" x14ac:dyDescent="0.25">
      <c r="A65" s="94" t="s">
        <v>258</v>
      </c>
      <c r="B65" s="94" t="s">
        <v>293</v>
      </c>
      <c r="C65" s="94"/>
      <c r="D65" s="94" t="s">
        <v>1780</v>
      </c>
      <c r="E65" s="94" t="s">
        <v>1323</v>
      </c>
      <c r="F65" s="94" t="s">
        <v>537</v>
      </c>
      <c r="G65" s="95">
        <v>1</v>
      </c>
    </row>
    <row r="66" spans="1:9" hidden="1" x14ac:dyDescent="0.25">
      <c r="A66" t="s">
        <v>483</v>
      </c>
      <c r="B66" t="s">
        <v>1681</v>
      </c>
      <c r="C66" t="s">
        <v>1304</v>
      </c>
      <c r="D66" t="s">
        <v>1680</v>
      </c>
      <c r="E66" t="s">
        <v>1320</v>
      </c>
      <c r="G66" s="1">
        <v>1</v>
      </c>
    </row>
    <row r="67" spans="1:9" hidden="1" x14ac:dyDescent="0.25">
      <c r="A67" t="s">
        <v>483</v>
      </c>
      <c r="B67" t="s">
        <v>984</v>
      </c>
      <c r="C67" t="s">
        <v>1304</v>
      </c>
      <c r="D67" t="s">
        <v>1690</v>
      </c>
      <c r="E67" t="s">
        <v>1323</v>
      </c>
      <c r="G67" s="1">
        <v>5</v>
      </c>
    </row>
    <row r="68" spans="1:9" hidden="1" x14ac:dyDescent="0.25">
      <c r="A68" t="s">
        <v>483</v>
      </c>
      <c r="B68" t="s">
        <v>927</v>
      </c>
      <c r="C68" t="s">
        <v>1281</v>
      </c>
      <c r="D68" t="s">
        <v>1724</v>
      </c>
      <c r="E68" t="s">
        <v>1323</v>
      </c>
      <c r="G68" s="1">
        <v>1</v>
      </c>
    </row>
    <row r="69" spans="1:9" hidden="1" x14ac:dyDescent="0.25">
      <c r="A69" t="s">
        <v>483</v>
      </c>
      <c r="B69" t="s">
        <v>792</v>
      </c>
      <c r="D69" t="s">
        <v>1724</v>
      </c>
      <c r="E69" t="s">
        <v>1323</v>
      </c>
      <c r="F69" t="s">
        <v>24</v>
      </c>
      <c r="G69" s="1">
        <v>1</v>
      </c>
    </row>
    <row r="70" spans="1:9" hidden="1" x14ac:dyDescent="0.25">
      <c r="A70" t="s">
        <v>483</v>
      </c>
      <c r="B70" t="s">
        <v>927</v>
      </c>
      <c r="C70" t="s">
        <v>255</v>
      </c>
      <c r="D70" t="s">
        <v>1726</v>
      </c>
      <c r="E70" t="s">
        <v>1320</v>
      </c>
      <c r="G70" s="1">
        <v>1</v>
      </c>
    </row>
    <row r="71" spans="1:9" hidden="1" x14ac:dyDescent="0.25">
      <c r="A71" t="s">
        <v>483</v>
      </c>
      <c r="B71" t="s">
        <v>927</v>
      </c>
      <c r="C71" t="s">
        <v>504</v>
      </c>
      <c r="D71" t="s">
        <v>1741</v>
      </c>
      <c r="E71" t="s">
        <v>1320</v>
      </c>
      <c r="G71" s="1">
        <v>3</v>
      </c>
    </row>
    <row r="72" spans="1:9" hidden="1" x14ac:dyDescent="0.25">
      <c r="A72" t="s">
        <v>483</v>
      </c>
      <c r="B72" t="s">
        <v>1681</v>
      </c>
      <c r="C72" t="s">
        <v>1304</v>
      </c>
      <c r="D72" t="s">
        <v>1741</v>
      </c>
      <c r="E72" t="s">
        <v>1320</v>
      </c>
      <c r="G72" s="1">
        <v>2</v>
      </c>
    </row>
    <row r="73" spans="1:9" hidden="1" x14ac:dyDescent="0.25">
      <c r="A73" t="s">
        <v>483</v>
      </c>
      <c r="B73" t="s">
        <v>1681</v>
      </c>
      <c r="C73" t="s">
        <v>1303</v>
      </c>
      <c r="D73" t="s">
        <v>1755</v>
      </c>
      <c r="E73" t="s">
        <v>1320</v>
      </c>
      <c r="G73" s="1">
        <v>1</v>
      </c>
    </row>
    <row r="74" spans="1:9" hidden="1" x14ac:dyDescent="0.25">
      <c r="A74" t="s">
        <v>483</v>
      </c>
      <c r="B74" t="s">
        <v>927</v>
      </c>
      <c r="C74">
        <v>2003</v>
      </c>
      <c r="D74" t="s">
        <v>1761</v>
      </c>
      <c r="E74" t="s">
        <v>1323</v>
      </c>
      <c r="G74" s="1">
        <v>4</v>
      </c>
    </row>
    <row r="75" spans="1:9" hidden="1" x14ac:dyDescent="0.25">
      <c r="A75" t="s">
        <v>483</v>
      </c>
      <c r="B75" t="s">
        <v>792</v>
      </c>
      <c r="C75" t="s">
        <v>569</v>
      </c>
      <c r="D75" t="s">
        <v>1766</v>
      </c>
      <c r="E75" t="s">
        <v>1309</v>
      </c>
      <c r="G75" s="1">
        <v>1</v>
      </c>
    </row>
    <row r="76" spans="1:9" hidden="1" x14ac:dyDescent="0.25">
      <c r="A76" s="94" t="s">
        <v>483</v>
      </c>
      <c r="B76" s="94"/>
      <c r="C76" s="94"/>
      <c r="D76" s="94" t="s">
        <v>1925</v>
      </c>
      <c r="E76" s="94" t="s">
        <v>1320</v>
      </c>
      <c r="F76" s="94" t="s">
        <v>537</v>
      </c>
      <c r="G76" s="95">
        <v>1</v>
      </c>
    </row>
    <row r="77" spans="1:9" hidden="1" x14ac:dyDescent="0.25">
      <c r="A77" s="94" t="s">
        <v>483</v>
      </c>
      <c r="B77" s="94"/>
      <c r="C77" s="94"/>
      <c r="D77" s="94" t="s">
        <v>1931</v>
      </c>
      <c r="E77" s="94" t="s">
        <v>1323</v>
      </c>
      <c r="F77" s="94" t="s">
        <v>537</v>
      </c>
      <c r="G77" s="95">
        <v>1</v>
      </c>
    </row>
    <row r="78" spans="1:9" hidden="1" x14ac:dyDescent="0.25">
      <c r="A78" t="s">
        <v>62</v>
      </c>
      <c r="B78" t="s">
        <v>1153</v>
      </c>
      <c r="C78" t="s">
        <v>59</v>
      </c>
      <c r="D78" t="s">
        <v>1652</v>
      </c>
      <c r="E78" t="s">
        <v>1323</v>
      </c>
      <c r="G78" s="1">
        <v>1</v>
      </c>
    </row>
    <row r="79" spans="1:9" hidden="1" x14ac:dyDescent="0.25">
      <c r="A79" t="s">
        <v>62</v>
      </c>
      <c r="B79" t="s">
        <v>372</v>
      </c>
      <c r="D79" t="s">
        <v>1709</v>
      </c>
      <c r="E79" t="s">
        <v>1320</v>
      </c>
      <c r="G79" s="1">
        <v>1</v>
      </c>
    </row>
    <row r="80" spans="1:9" hidden="1" x14ac:dyDescent="0.25">
      <c r="A80" s="94" t="s">
        <v>626</v>
      </c>
      <c r="B80" s="94" t="s">
        <v>1836</v>
      </c>
      <c r="C80" s="94" t="s">
        <v>1018</v>
      </c>
      <c r="D80" s="94" t="s">
        <v>1837</v>
      </c>
      <c r="E80" s="94" t="s">
        <v>1272</v>
      </c>
      <c r="F80" s="94"/>
      <c r="G80" s="95">
        <v>0</v>
      </c>
      <c r="H80" s="94"/>
      <c r="I80" s="94"/>
    </row>
    <row r="81" spans="1:9" hidden="1" x14ac:dyDescent="0.25">
      <c r="A81" t="s">
        <v>62</v>
      </c>
      <c r="B81" t="s">
        <v>372</v>
      </c>
      <c r="C81" t="s">
        <v>375</v>
      </c>
      <c r="D81" t="s">
        <v>1710</v>
      </c>
      <c r="E81" t="s">
        <v>1320</v>
      </c>
      <c r="G81" s="1">
        <v>1</v>
      </c>
    </row>
    <row r="82" spans="1:9" hidden="1" x14ac:dyDescent="0.25">
      <c r="A82" t="s">
        <v>62</v>
      </c>
      <c r="B82" t="s">
        <v>1762</v>
      </c>
      <c r="C82" t="s">
        <v>1298</v>
      </c>
      <c r="D82" t="s">
        <v>1761</v>
      </c>
      <c r="E82" t="s">
        <v>1323</v>
      </c>
      <c r="G82" s="1">
        <v>1</v>
      </c>
    </row>
    <row r="83" spans="1:9" hidden="1" x14ac:dyDescent="0.25">
      <c r="A83" s="94" t="s">
        <v>62</v>
      </c>
      <c r="B83" s="94" t="s">
        <v>372</v>
      </c>
      <c r="C83" s="94"/>
      <c r="D83" s="94" t="s">
        <v>1809</v>
      </c>
      <c r="E83" s="94" t="s">
        <v>1320</v>
      </c>
      <c r="F83" s="94" t="s">
        <v>537</v>
      </c>
      <c r="G83" s="95">
        <v>1</v>
      </c>
    </row>
    <row r="84" spans="1:9" hidden="1" x14ac:dyDescent="0.25">
      <c r="A84" t="s">
        <v>334</v>
      </c>
      <c r="B84" t="s">
        <v>987</v>
      </c>
      <c r="C84" t="s">
        <v>949</v>
      </c>
      <c r="D84" t="s">
        <v>1710</v>
      </c>
      <c r="E84" t="s">
        <v>1320</v>
      </c>
      <c r="G84" s="1">
        <v>1</v>
      </c>
    </row>
    <row r="85" spans="1:9" hidden="1" x14ac:dyDescent="0.25">
      <c r="A85" t="s">
        <v>334</v>
      </c>
      <c r="B85" t="s">
        <v>1782</v>
      </c>
      <c r="C85" t="s">
        <v>949</v>
      </c>
      <c r="D85" t="s">
        <v>1780</v>
      </c>
      <c r="E85" t="s">
        <v>1302</v>
      </c>
      <c r="G85" s="1">
        <v>1</v>
      </c>
    </row>
    <row r="86" spans="1:9" hidden="1" x14ac:dyDescent="0.25">
      <c r="A86" t="s">
        <v>334</v>
      </c>
      <c r="B86" t="s">
        <v>335</v>
      </c>
      <c r="D86" t="s">
        <v>1805</v>
      </c>
      <c r="E86" t="s">
        <v>1264</v>
      </c>
      <c r="G86" s="1">
        <v>1</v>
      </c>
    </row>
    <row r="87" spans="1:9" hidden="1" x14ac:dyDescent="0.25">
      <c r="A87" t="s">
        <v>334</v>
      </c>
      <c r="B87" t="s">
        <v>1807</v>
      </c>
      <c r="C87">
        <v>1996</v>
      </c>
      <c r="D87" t="s">
        <v>1806</v>
      </c>
      <c r="E87" t="s">
        <v>1264</v>
      </c>
      <c r="G87" s="1">
        <v>2</v>
      </c>
    </row>
    <row r="88" spans="1:9" hidden="1" x14ac:dyDescent="0.25">
      <c r="A88" s="94" t="s">
        <v>1834</v>
      </c>
      <c r="B88" s="94" t="s">
        <v>1835</v>
      </c>
      <c r="C88" s="94" t="s">
        <v>1833</v>
      </c>
      <c r="D88" s="94" t="s">
        <v>1837</v>
      </c>
      <c r="E88" s="94" t="s">
        <v>1827</v>
      </c>
      <c r="F88" s="94" t="s">
        <v>250</v>
      </c>
      <c r="G88" s="95">
        <v>1</v>
      </c>
      <c r="H88" s="94"/>
      <c r="I88" s="94"/>
    </row>
    <row r="89" spans="1:9" hidden="1" x14ac:dyDescent="0.25">
      <c r="A89" s="96" t="s">
        <v>334</v>
      </c>
      <c r="B89" s="96" t="s">
        <v>1807</v>
      </c>
      <c r="C89" s="96" t="s">
        <v>1260</v>
      </c>
      <c r="D89" s="96" t="s">
        <v>1806</v>
      </c>
      <c r="E89" s="96" t="s">
        <v>1289</v>
      </c>
      <c r="F89" s="96"/>
      <c r="G89" s="97">
        <v>1</v>
      </c>
      <c r="H89" s="96"/>
      <c r="I89" s="96"/>
    </row>
    <row r="90" spans="1:9" hidden="1" x14ac:dyDescent="0.25">
      <c r="A90" t="s">
        <v>136</v>
      </c>
      <c r="B90" t="s">
        <v>329</v>
      </c>
      <c r="D90" t="s">
        <v>1778</v>
      </c>
      <c r="E90" t="s">
        <v>1323</v>
      </c>
      <c r="G90" s="1">
        <v>1</v>
      </c>
    </row>
    <row r="91" spans="1:9" hidden="1" x14ac:dyDescent="0.25">
      <c r="A91" t="s">
        <v>1721</v>
      </c>
      <c r="B91" t="s">
        <v>1722</v>
      </c>
      <c r="C91" t="s">
        <v>1723</v>
      </c>
      <c r="D91" t="s">
        <v>1715</v>
      </c>
      <c r="E91" t="s">
        <v>1264</v>
      </c>
      <c r="G91" s="1">
        <v>1</v>
      </c>
    </row>
    <row r="92" spans="1:9" hidden="1" x14ac:dyDescent="0.25">
      <c r="A92" t="s">
        <v>39</v>
      </c>
      <c r="B92" t="s">
        <v>1643</v>
      </c>
      <c r="C92" t="s">
        <v>1328</v>
      </c>
      <c r="D92" t="s">
        <v>1641</v>
      </c>
      <c r="E92" t="s">
        <v>1323</v>
      </c>
      <c r="G92" s="1">
        <v>1</v>
      </c>
    </row>
    <row r="93" spans="1:9" hidden="1" x14ac:dyDescent="0.25">
      <c r="A93" t="s">
        <v>39</v>
      </c>
      <c r="B93" t="s">
        <v>1648</v>
      </c>
      <c r="C93" t="s">
        <v>243</v>
      </c>
      <c r="E93" t="s">
        <v>1271</v>
      </c>
      <c r="F93" t="s">
        <v>1611</v>
      </c>
      <c r="G93" s="1">
        <v>1</v>
      </c>
    </row>
    <row r="94" spans="1:9" hidden="1" x14ac:dyDescent="0.25">
      <c r="A94" s="94" t="s">
        <v>405</v>
      </c>
      <c r="B94" s="94" t="s">
        <v>857</v>
      </c>
      <c r="C94" s="94" t="s">
        <v>1824</v>
      </c>
      <c r="D94" s="94" t="s">
        <v>1837</v>
      </c>
      <c r="E94" s="94" t="s">
        <v>1829</v>
      </c>
      <c r="F94" s="94" t="s">
        <v>531</v>
      </c>
      <c r="G94" s="95">
        <v>1</v>
      </c>
      <c r="H94" s="94"/>
      <c r="I94" s="94"/>
    </row>
    <row r="95" spans="1:9" hidden="1" x14ac:dyDescent="0.25">
      <c r="A95" s="94" t="s">
        <v>405</v>
      </c>
      <c r="B95" s="94" t="s">
        <v>1828</v>
      </c>
      <c r="C95" s="94" t="s">
        <v>1258</v>
      </c>
      <c r="D95" s="94" t="s">
        <v>1837</v>
      </c>
      <c r="E95" s="94" t="s">
        <v>1272</v>
      </c>
      <c r="F95" s="94" t="s">
        <v>531</v>
      </c>
      <c r="G95" s="95">
        <v>1</v>
      </c>
      <c r="H95" s="94"/>
      <c r="I95" s="94"/>
    </row>
    <row r="96" spans="1:9" hidden="1" x14ac:dyDescent="0.25">
      <c r="A96" t="s">
        <v>39</v>
      </c>
      <c r="B96" t="s">
        <v>1678</v>
      </c>
      <c r="C96" t="s">
        <v>36</v>
      </c>
      <c r="D96" t="s">
        <v>1677</v>
      </c>
      <c r="E96" t="s">
        <v>1323</v>
      </c>
      <c r="G96" s="1">
        <v>1</v>
      </c>
    </row>
    <row r="97" spans="1:9" hidden="1" x14ac:dyDescent="0.25">
      <c r="A97" t="s">
        <v>39</v>
      </c>
      <c r="B97" t="s">
        <v>1699</v>
      </c>
      <c r="C97" t="s">
        <v>26</v>
      </c>
      <c r="D97" t="s">
        <v>1698</v>
      </c>
      <c r="E97" t="s">
        <v>1323</v>
      </c>
      <c r="G97" s="1">
        <v>1</v>
      </c>
    </row>
    <row r="98" spans="1:9" hidden="1" x14ac:dyDescent="0.25">
      <c r="A98" t="s">
        <v>39</v>
      </c>
      <c r="B98" t="s">
        <v>1701</v>
      </c>
      <c r="C98" t="s">
        <v>1260</v>
      </c>
      <c r="D98" t="s">
        <v>1698</v>
      </c>
      <c r="E98" t="s">
        <v>1320</v>
      </c>
      <c r="G98" s="1">
        <v>1</v>
      </c>
    </row>
    <row r="99" spans="1:9" hidden="1" x14ac:dyDescent="0.25">
      <c r="A99" t="s">
        <v>39</v>
      </c>
      <c r="B99" t="s">
        <v>1699</v>
      </c>
      <c r="D99" t="s">
        <v>1741</v>
      </c>
      <c r="E99" t="s">
        <v>1320</v>
      </c>
      <c r="F99" t="s">
        <v>250</v>
      </c>
      <c r="G99" s="1">
        <v>1</v>
      </c>
    </row>
    <row r="100" spans="1:9" hidden="1" x14ac:dyDescent="0.25">
      <c r="A100" t="s">
        <v>39</v>
      </c>
      <c r="B100" t="s">
        <v>1701</v>
      </c>
      <c r="D100" t="s">
        <v>1763</v>
      </c>
      <c r="E100" t="s">
        <v>1323</v>
      </c>
      <c r="G100" s="1">
        <v>1</v>
      </c>
    </row>
    <row r="101" spans="1:9" hidden="1" x14ac:dyDescent="0.25">
      <c r="A101" t="s">
        <v>39</v>
      </c>
      <c r="B101" t="s">
        <v>1699</v>
      </c>
      <c r="C101" t="s">
        <v>1259</v>
      </c>
      <c r="D101" t="s">
        <v>1809</v>
      </c>
      <c r="E101" t="s">
        <v>1320</v>
      </c>
      <c r="F101" t="s">
        <v>250</v>
      </c>
      <c r="G101" s="1">
        <v>1</v>
      </c>
    </row>
    <row r="102" spans="1:9" hidden="1" x14ac:dyDescent="0.25">
      <c r="A102" s="94" t="s">
        <v>39</v>
      </c>
      <c r="B102" s="94"/>
      <c r="C102" s="94"/>
      <c r="D102" s="94" t="s">
        <v>1810</v>
      </c>
      <c r="E102" s="94" t="s">
        <v>1916</v>
      </c>
      <c r="F102" s="94" t="s">
        <v>537</v>
      </c>
      <c r="G102" s="95">
        <v>1</v>
      </c>
    </row>
    <row r="103" spans="1:9" hidden="1" x14ac:dyDescent="0.25">
      <c r="A103" t="s">
        <v>1759</v>
      </c>
      <c r="B103" t="s">
        <v>1760</v>
      </c>
      <c r="C103" t="s">
        <v>59</v>
      </c>
      <c r="D103" t="s">
        <v>1755</v>
      </c>
      <c r="E103" t="s">
        <v>1320</v>
      </c>
      <c r="G103" s="1">
        <v>1</v>
      </c>
    </row>
    <row r="104" spans="1:9" x14ac:dyDescent="0.25">
      <c r="A104" t="s">
        <v>183</v>
      </c>
      <c r="B104" t="s">
        <v>617</v>
      </c>
      <c r="C104" t="s">
        <v>28</v>
      </c>
      <c r="D104" t="s">
        <v>1677</v>
      </c>
      <c r="E104" t="s">
        <v>1309</v>
      </c>
      <c r="G104" s="1">
        <v>1</v>
      </c>
    </row>
    <row r="105" spans="1:9" x14ac:dyDescent="0.25">
      <c r="A105" t="s">
        <v>183</v>
      </c>
      <c r="B105" t="s">
        <v>617</v>
      </c>
      <c r="C105" t="s">
        <v>10</v>
      </c>
      <c r="D105" t="s">
        <v>1693</v>
      </c>
      <c r="E105" t="s">
        <v>1309</v>
      </c>
      <c r="G105" s="1">
        <v>1</v>
      </c>
    </row>
    <row r="106" spans="1:9" x14ac:dyDescent="0.25">
      <c r="A106" t="s">
        <v>183</v>
      </c>
      <c r="B106" t="s">
        <v>617</v>
      </c>
      <c r="C106" t="s">
        <v>1706</v>
      </c>
      <c r="D106" t="s">
        <v>1705</v>
      </c>
      <c r="E106" t="s">
        <v>1323</v>
      </c>
      <c r="G106" s="1">
        <v>1</v>
      </c>
    </row>
    <row r="107" spans="1:9" x14ac:dyDescent="0.25">
      <c r="A107" t="s">
        <v>183</v>
      </c>
      <c r="B107" t="s">
        <v>617</v>
      </c>
      <c r="C107" t="s">
        <v>16</v>
      </c>
      <c r="D107" t="s">
        <v>1709</v>
      </c>
      <c r="E107" t="s">
        <v>1323</v>
      </c>
      <c r="G107" s="1">
        <v>1</v>
      </c>
    </row>
    <row r="108" spans="1:9" x14ac:dyDescent="0.25">
      <c r="A108" t="s">
        <v>183</v>
      </c>
      <c r="B108" t="s">
        <v>602</v>
      </c>
      <c r="C108" t="s">
        <v>619</v>
      </c>
      <c r="D108" t="s">
        <v>1728</v>
      </c>
      <c r="E108" t="s">
        <v>1320</v>
      </c>
      <c r="F108" t="s">
        <v>1730</v>
      </c>
      <c r="G108" s="1">
        <v>1</v>
      </c>
    </row>
    <row r="109" spans="1:9" x14ac:dyDescent="0.25">
      <c r="A109" t="s">
        <v>183</v>
      </c>
      <c r="B109" t="s">
        <v>1743</v>
      </c>
      <c r="D109" t="s">
        <v>1745</v>
      </c>
      <c r="E109" t="s">
        <v>1320</v>
      </c>
      <c r="G109" s="1">
        <v>6</v>
      </c>
    </row>
    <row r="110" spans="1:9" x14ac:dyDescent="0.25">
      <c r="A110" t="s">
        <v>183</v>
      </c>
      <c r="B110" t="s">
        <v>991</v>
      </c>
      <c r="C110" t="s">
        <v>1756</v>
      </c>
      <c r="D110" t="s">
        <v>1755</v>
      </c>
      <c r="E110" t="s">
        <v>1320</v>
      </c>
      <c r="F110" t="s">
        <v>1730</v>
      </c>
      <c r="G110" s="1">
        <v>1</v>
      </c>
    </row>
    <row r="111" spans="1:9" hidden="1" x14ac:dyDescent="0.25">
      <c r="A111" s="96" t="s">
        <v>9</v>
      </c>
      <c r="B111" s="96">
        <v>406</v>
      </c>
      <c r="C111" s="96" t="s">
        <v>1850</v>
      </c>
      <c r="D111" s="96" t="s">
        <v>1838</v>
      </c>
      <c r="E111" s="96" t="s">
        <v>1261</v>
      </c>
      <c r="F111" s="96" t="s">
        <v>24</v>
      </c>
      <c r="G111" s="95">
        <v>1</v>
      </c>
      <c r="H111" s="96"/>
      <c r="I111" s="96"/>
    </row>
    <row r="112" spans="1:9" hidden="1" x14ac:dyDescent="0.25">
      <c r="A112" s="96" t="s">
        <v>9</v>
      </c>
      <c r="B112" s="96">
        <v>307</v>
      </c>
      <c r="C112" s="96" t="s">
        <v>1293</v>
      </c>
      <c r="D112" s="96" t="s">
        <v>1838</v>
      </c>
      <c r="E112" s="96" t="s">
        <v>1324</v>
      </c>
      <c r="F112" s="96" t="s">
        <v>250</v>
      </c>
      <c r="G112" s="95">
        <v>1</v>
      </c>
      <c r="H112" s="96"/>
      <c r="I112" s="96"/>
    </row>
    <row r="113" spans="1:7" x14ac:dyDescent="0.25">
      <c r="A113" t="s">
        <v>183</v>
      </c>
      <c r="B113" t="s">
        <v>1768</v>
      </c>
      <c r="C113" t="s">
        <v>1284</v>
      </c>
      <c r="D113" t="s">
        <v>1766</v>
      </c>
      <c r="E113" t="s">
        <v>1323</v>
      </c>
      <c r="G113" s="1">
        <v>1</v>
      </c>
    </row>
    <row r="114" spans="1:7" hidden="1" x14ac:dyDescent="0.25">
      <c r="A114" t="s">
        <v>9</v>
      </c>
      <c r="B114" t="s">
        <v>1772</v>
      </c>
      <c r="C114" t="s">
        <v>268</v>
      </c>
      <c r="D114" t="s">
        <v>2013</v>
      </c>
      <c r="E114" t="s">
        <v>2012</v>
      </c>
      <c r="G114" s="1">
        <v>1</v>
      </c>
    </row>
    <row r="115" spans="1:7" x14ac:dyDescent="0.25">
      <c r="A115" t="s">
        <v>564</v>
      </c>
      <c r="B115" t="s">
        <v>540</v>
      </c>
      <c r="C115" t="s">
        <v>1046</v>
      </c>
      <c r="D115" t="s">
        <v>1670</v>
      </c>
      <c r="E115" t="s">
        <v>1302</v>
      </c>
      <c r="F115" t="s">
        <v>1607</v>
      </c>
      <c r="G115" s="1">
        <v>1</v>
      </c>
    </row>
    <row r="116" spans="1:7" x14ac:dyDescent="0.25">
      <c r="A116" t="s">
        <v>564</v>
      </c>
      <c r="B116" t="s">
        <v>991</v>
      </c>
      <c r="C116" t="s">
        <v>1744</v>
      </c>
      <c r="D116" t="s">
        <v>1746</v>
      </c>
      <c r="E116" t="s">
        <v>1320</v>
      </c>
      <c r="G116" s="1">
        <v>6</v>
      </c>
    </row>
    <row r="117" spans="1:7" x14ac:dyDescent="0.25">
      <c r="A117" t="s">
        <v>1667</v>
      </c>
      <c r="B117" t="s">
        <v>538</v>
      </c>
      <c r="C117" t="s">
        <v>116</v>
      </c>
      <c r="D117" t="s">
        <v>1664</v>
      </c>
      <c r="E117" t="s">
        <v>1302</v>
      </c>
      <c r="G117" s="1">
        <v>1</v>
      </c>
    </row>
    <row r="118" spans="1:7" x14ac:dyDescent="0.25">
      <c r="A118" t="s">
        <v>1340</v>
      </c>
      <c r="B118" t="s">
        <v>1792</v>
      </c>
      <c r="D118" t="s">
        <v>1790</v>
      </c>
      <c r="E118" t="s">
        <v>1309</v>
      </c>
      <c r="G118" s="1">
        <v>1</v>
      </c>
    </row>
    <row r="119" spans="1:7" x14ac:dyDescent="0.25">
      <c r="A119" t="s">
        <v>1608</v>
      </c>
      <c r="B119" t="s">
        <v>1662</v>
      </c>
      <c r="C119" t="s">
        <v>130</v>
      </c>
      <c r="D119" t="s">
        <v>1663</v>
      </c>
      <c r="E119" t="s">
        <v>1323</v>
      </c>
      <c r="G119" s="1">
        <v>1</v>
      </c>
    </row>
    <row r="120" spans="1:7" hidden="1" x14ac:dyDescent="0.25">
      <c r="A120" t="s">
        <v>234</v>
      </c>
      <c r="B120" t="s">
        <v>1767</v>
      </c>
      <c r="C120" t="s">
        <v>1326</v>
      </c>
      <c r="D120" t="s">
        <v>1766</v>
      </c>
      <c r="E120" t="s">
        <v>1323</v>
      </c>
      <c r="G120" s="1">
        <v>1</v>
      </c>
    </row>
    <row r="121" spans="1:7" hidden="1" x14ac:dyDescent="0.25">
      <c r="A121" t="s">
        <v>1775</v>
      </c>
      <c r="C121" t="s">
        <v>254</v>
      </c>
      <c r="D121" t="s">
        <v>1771</v>
      </c>
      <c r="E121" t="s">
        <v>1323</v>
      </c>
      <c r="G121" s="1">
        <v>1</v>
      </c>
    </row>
    <row r="122" spans="1:7" hidden="1" x14ac:dyDescent="0.25">
      <c r="A122" t="s">
        <v>396</v>
      </c>
      <c r="B122" t="s">
        <v>799</v>
      </c>
      <c r="D122" t="s">
        <v>1801</v>
      </c>
      <c r="E122" t="s">
        <v>1271</v>
      </c>
      <c r="F122" t="s">
        <v>1803</v>
      </c>
      <c r="G122" s="1">
        <v>1</v>
      </c>
    </row>
    <row r="123" spans="1:7" hidden="1" x14ac:dyDescent="0.25">
      <c r="A123" t="s">
        <v>120</v>
      </c>
      <c r="B123" t="s">
        <v>1609</v>
      </c>
      <c r="C123" t="s">
        <v>328</v>
      </c>
      <c r="D123" t="s">
        <v>1647</v>
      </c>
      <c r="E123" t="s">
        <v>1320</v>
      </c>
      <c r="G123" s="1">
        <v>1</v>
      </c>
    </row>
    <row r="124" spans="1:7" hidden="1" x14ac:dyDescent="0.25">
      <c r="A124" t="s">
        <v>60</v>
      </c>
      <c r="B124" t="s">
        <v>1719</v>
      </c>
      <c r="C124" t="s">
        <v>941</v>
      </c>
      <c r="D124" t="s">
        <v>1715</v>
      </c>
      <c r="E124" t="s">
        <v>1272</v>
      </c>
      <c r="G124" s="1">
        <v>1</v>
      </c>
    </row>
    <row r="125" spans="1:7" hidden="1" x14ac:dyDescent="0.25">
      <c r="A125" t="s">
        <v>120</v>
      </c>
      <c r="B125" t="s">
        <v>1783</v>
      </c>
      <c r="C125" t="s">
        <v>1284</v>
      </c>
      <c r="D125" t="s">
        <v>1780</v>
      </c>
      <c r="E125" t="s">
        <v>1302</v>
      </c>
      <c r="G125" s="1">
        <v>1</v>
      </c>
    </row>
    <row r="126" spans="1:7" hidden="1" x14ac:dyDescent="0.25">
      <c r="A126" t="s">
        <v>873</v>
      </c>
      <c r="B126" t="s">
        <v>1779</v>
      </c>
      <c r="C126" t="s">
        <v>519</v>
      </c>
      <c r="D126" t="s">
        <v>1778</v>
      </c>
      <c r="E126" t="s">
        <v>1323</v>
      </c>
      <c r="G126" s="1">
        <v>1</v>
      </c>
    </row>
    <row r="127" spans="1:7" hidden="1" x14ac:dyDescent="0.25">
      <c r="A127" t="s">
        <v>159</v>
      </c>
      <c r="B127" t="s">
        <v>449</v>
      </c>
      <c r="C127" t="s">
        <v>28</v>
      </c>
      <c r="D127" t="s">
        <v>1654</v>
      </c>
      <c r="E127" t="s">
        <v>1320</v>
      </c>
      <c r="G127" s="1">
        <v>1</v>
      </c>
    </row>
    <row r="128" spans="1:7" hidden="1" x14ac:dyDescent="0.25">
      <c r="A128" t="s">
        <v>159</v>
      </c>
      <c r="B128" t="s">
        <v>392</v>
      </c>
      <c r="C128" t="s">
        <v>233</v>
      </c>
      <c r="D128" t="s">
        <v>1712</v>
      </c>
      <c r="E128" t="s">
        <v>1323</v>
      </c>
      <c r="G128" s="1">
        <v>1</v>
      </c>
    </row>
    <row r="129" spans="1:9" hidden="1" x14ac:dyDescent="0.25">
      <c r="A129" t="s">
        <v>159</v>
      </c>
      <c r="B129" t="s">
        <v>620</v>
      </c>
      <c r="C129" t="s">
        <v>1720</v>
      </c>
      <c r="D129" t="s">
        <v>1715</v>
      </c>
      <c r="E129" t="s">
        <v>1264</v>
      </c>
      <c r="G129" s="1">
        <v>1</v>
      </c>
    </row>
    <row r="130" spans="1:9" hidden="1" x14ac:dyDescent="0.25">
      <c r="A130" t="s">
        <v>159</v>
      </c>
      <c r="B130" t="s">
        <v>392</v>
      </c>
      <c r="D130" t="s">
        <v>1750</v>
      </c>
      <c r="E130" t="s">
        <v>1323</v>
      </c>
      <c r="G130" s="1">
        <v>1</v>
      </c>
    </row>
    <row r="131" spans="1:9" hidden="1" x14ac:dyDescent="0.25">
      <c r="A131" t="s">
        <v>144</v>
      </c>
      <c r="B131" t="s">
        <v>1155</v>
      </c>
      <c r="C131" t="s">
        <v>1313</v>
      </c>
      <c r="D131" t="s">
        <v>1650</v>
      </c>
      <c r="E131" t="s">
        <v>1271</v>
      </c>
      <c r="G131" s="1">
        <v>1</v>
      </c>
    </row>
    <row r="132" spans="1:9" hidden="1" x14ac:dyDescent="0.25">
      <c r="A132" t="s">
        <v>144</v>
      </c>
      <c r="B132" t="s">
        <v>695</v>
      </c>
      <c r="C132" t="s">
        <v>17</v>
      </c>
      <c r="D132" t="s">
        <v>1668</v>
      </c>
      <c r="E132" t="s">
        <v>1323</v>
      </c>
      <c r="G132" s="1">
        <v>1</v>
      </c>
    </row>
    <row r="133" spans="1:9" hidden="1" x14ac:dyDescent="0.25">
      <c r="A133" t="s">
        <v>144</v>
      </c>
      <c r="B133" t="s">
        <v>968</v>
      </c>
      <c r="C133" t="s">
        <v>10</v>
      </c>
      <c r="D133" t="s">
        <v>1672</v>
      </c>
      <c r="E133" t="s">
        <v>1320</v>
      </c>
      <c r="G133" s="1">
        <v>1</v>
      </c>
    </row>
    <row r="134" spans="1:9" hidden="1" x14ac:dyDescent="0.25">
      <c r="A134" s="94" t="s">
        <v>60</v>
      </c>
      <c r="B134" s="94" t="s">
        <v>1826</v>
      </c>
      <c r="C134" s="94" t="s">
        <v>941</v>
      </c>
      <c r="D134" s="94" t="s">
        <v>1837</v>
      </c>
      <c r="E134" s="94" t="s">
        <v>1272</v>
      </c>
      <c r="F134" s="94"/>
      <c r="G134" s="95">
        <v>1</v>
      </c>
      <c r="H134" s="94"/>
      <c r="I134" s="94"/>
    </row>
    <row r="135" spans="1:9" hidden="1" x14ac:dyDescent="0.25">
      <c r="A135" s="96" t="s">
        <v>60</v>
      </c>
      <c r="B135" s="96" t="s">
        <v>1063</v>
      </c>
      <c r="C135" s="96"/>
      <c r="D135" s="96" t="s">
        <v>1838</v>
      </c>
      <c r="E135" s="96" t="s">
        <v>1261</v>
      </c>
      <c r="F135" s="96"/>
      <c r="G135" s="95">
        <v>1</v>
      </c>
      <c r="H135" s="96"/>
      <c r="I135" s="96"/>
    </row>
    <row r="136" spans="1:9" hidden="1" x14ac:dyDescent="0.25">
      <c r="A136" t="s">
        <v>144</v>
      </c>
      <c r="B136" t="s">
        <v>1290</v>
      </c>
      <c r="D136" t="s">
        <v>1686</v>
      </c>
      <c r="E136" t="s">
        <v>1289</v>
      </c>
      <c r="G136" s="1">
        <v>1</v>
      </c>
    </row>
    <row r="137" spans="1:9" hidden="1" x14ac:dyDescent="0.25">
      <c r="A137" t="s">
        <v>144</v>
      </c>
      <c r="B137" t="s">
        <v>1292</v>
      </c>
      <c r="C137" t="s">
        <v>103</v>
      </c>
      <c r="D137" t="s">
        <v>1709</v>
      </c>
      <c r="E137" t="s">
        <v>1320</v>
      </c>
      <c r="G137" s="1">
        <v>1</v>
      </c>
    </row>
    <row r="138" spans="1:9" hidden="1" x14ac:dyDescent="0.25">
      <c r="A138" t="s">
        <v>144</v>
      </c>
      <c r="B138" t="s">
        <v>1711</v>
      </c>
      <c r="C138" t="s">
        <v>153</v>
      </c>
      <c r="D138" t="s">
        <v>1710</v>
      </c>
      <c r="E138" t="s">
        <v>1309</v>
      </c>
      <c r="G138" s="1">
        <v>0</v>
      </c>
    </row>
    <row r="139" spans="1:9" hidden="1" x14ac:dyDescent="0.25">
      <c r="A139" t="s">
        <v>144</v>
      </c>
      <c r="B139" t="s">
        <v>1725</v>
      </c>
      <c r="C139" t="s">
        <v>1268</v>
      </c>
      <c r="D139" t="s">
        <v>1726</v>
      </c>
      <c r="E139" t="s">
        <v>1289</v>
      </c>
      <c r="G139" s="1">
        <v>2</v>
      </c>
    </row>
    <row r="140" spans="1:9" hidden="1" x14ac:dyDescent="0.25">
      <c r="A140" t="s">
        <v>144</v>
      </c>
      <c r="B140" t="s">
        <v>148</v>
      </c>
      <c r="C140" t="s">
        <v>729</v>
      </c>
      <c r="D140" t="s">
        <v>1742</v>
      </c>
      <c r="E140" t="s">
        <v>1309</v>
      </c>
      <c r="G140" s="1">
        <v>4</v>
      </c>
    </row>
    <row r="141" spans="1:9" hidden="1" x14ac:dyDescent="0.25">
      <c r="A141" t="s">
        <v>144</v>
      </c>
      <c r="B141" t="s">
        <v>1290</v>
      </c>
      <c r="D141" t="s">
        <v>1749</v>
      </c>
      <c r="E141" t="s">
        <v>1302</v>
      </c>
      <c r="G141" s="1">
        <v>1</v>
      </c>
    </row>
    <row r="142" spans="1:9" hidden="1" x14ac:dyDescent="0.25">
      <c r="A142" t="s">
        <v>144</v>
      </c>
      <c r="B142" t="s">
        <v>145</v>
      </c>
      <c r="D142" t="s">
        <v>1755</v>
      </c>
      <c r="E142" t="s">
        <v>1320</v>
      </c>
      <c r="G142" s="1">
        <v>1</v>
      </c>
    </row>
    <row r="143" spans="1:9" hidden="1" x14ac:dyDescent="0.25">
      <c r="A143" t="s">
        <v>144</v>
      </c>
      <c r="B143" t="s">
        <v>145</v>
      </c>
      <c r="C143">
        <v>2000</v>
      </c>
      <c r="D143" t="s">
        <v>1755</v>
      </c>
      <c r="E143" t="s">
        <v>1320</v>
      </c>
      <c r="G143" s="1">
        <v>1</v>
      </c>
    </row>
    <row r="144" spans="1:9" hidden="1" x14ac:dyDescent="0.25">
      <c r="A144" t="s">
        <v>225</v>
      </c>
      <c r="B144" t="s">
        <v>1300</v>
      </c>
      <c r="C144" t="s">
        <v>1295</v>
      </c>
      <c r="D144" t="s">
        <v>1715</v>
      </c>
      <c r="E144" t="s">
        <v>1261</v>
      </c>
      <c r="G144" s="1">
        <v>1</v>
      </c>
    </row>
    <row r="145" spans="1:9" hidden="1" x14ac:dyDescent="0.25">
      <c r="A145" t="s">
        <v>225</v>
      </c>
      <c r="B145" t="s">
        <v>937</v>
      </c>
      <c r="C145" t="s">
        <v>941</v>
      </c>
      <c r="D145" t="s">
        <v>1715</v>
      </c>
      <c r="E145" t="s">
        <v>1261</v>
      </c>
      <c r="G145" s="1">
        <v>1</v>
      </c>
    </row>
    <row r="146" spans="1:9" hidden="1" x14ac:dyDescent="0.25">
      <c r="A146" t="s">
        <v>144</v>
      </c>
      <c r="B146" t="s">
        <v>1758</v>
      </c>
      <c r="C146">
        <v>2012</v>
      </c>
      <c r="D146" t="s">
        <v>1755</v>
      </c>
      <c r="E146" t="s">
        <v>1320</v>
      </c>
      <c r="F146" t="s">
        <v>250</v>
      </c>
      <c r="G146" s="1">
        <v>1</v>
      </c>
    </row>
    <row r="147" spans="1:9" hidden="1" x14ac:dyDescent="0.25">
      <c r="A147" t="s">
        <v>144</v>
      </c>
      <c r="B147" t="s">
        <v>1155</v>
      </c>
      <c r="D147" t="s">
        <v>1761</v>
      </c>
      <c r="E147" t="s">
        <v>1309</v>
      </c>
      <c r="G147" s="1">
        <v>1</v>
      </c>
    </row>
    <row r="148" spans="1:9" hidden="1" x14ac:dyDescent="0.25">
      <c r="A148" t="s">
        <v>144</v>
      </c>
      <c r="B148" t="s">
        <v>541</v>
      </c>
      <c r="C148" t="s">
        <v>40</v>
      </c>
      <c r="D148" t="s">
        <v>1677</v>
      </c>
      <c r="E148" t="s">
        <v>1302</v>
      </c>
      <c r="G148" s="1">
        <v>1</v>
      </c>
    </row>
    <row r="149" spans="1:9" hidden="1" x14ac:dyDescent="0.25">
      <c r="A149" t="s">
        <v>144</v>
      </c>
      <c r="B149" t="s">
        <v>1774</v>
      </c>
      <c r="C149" t="s">
        <v>1291</v>
      </c>
      <c r="D149" t="s">
        <v>1771</v>
      </c>
      <c r="E149" t="s">
        <v>1323</v>
      </c>
      <c r="G149" s="1">
        <v>1</v>
      </c>
    </row>
    <row r="150" spans="1:9" hidden="1" x14ac:dyDescent="0.25">
      <c r="A150" t="s">
        <v>144</v>
      </c>
      <c r="B150" t="s">
        <v>695</v>
      </c>
      <c r="C150" t="s">
        <v>287</v>
      </c>
      <c r="D150" t="s">
        <v>1771</v>
      </c>
      <c r="E150" t="s">
        <v>1323</v>
      </c>
      <c r="G150" s="1">
        <v>1</v>
      </c>
    </row>
    <row r="151" spans="1:9" hidden="1" x14ac:dyDescent="0.25">
      <c r="A151" t="s">
        <v>144</v>
      </c>
      <c r="B151" t="s">
        <v>1776</v>
      </c>
      <c r="C151" t="s">
        <v>664</v>
      </c>
      <c r="D151" t="s">
        <v>1771</v>
      </c>
      <c r="E151" t="s">
        <v>1323</v>
      </c>
      <c r="G151" s="1">
        <v>1</v>
      </c>
    </row>
    <row r="152" spans="1:9" hidden="1" x14ac:dyDescent="0.25">
      <c r="A152" t="s">
        <v>144</v>
      </c>
      <c r="B152" t="s">
        <v>1774</v>
      </c>
      <c r="C152" t="s">
        <v>10</v>
      </c>
      <c r="D152" t="s">
        <v>1777</v>
      </c>
      <c r="E152" t="s">
        <v>1320</v>
      </c>
      <c r="G152" s="1">
        <v>1</v>
      </c>
    </row>
    <row r="153" spans="1:9" hidden="1" x14ac:dyDescent="0.25">
      <c r="A153" t="s">
        <v>144</v>
      </c>
      <c r="B153" t="s">
        <v>695</v>
      </c>
      <c r="C153" t="s">
        <v>16</v>
      </c>
      <c r="D153" t="s">
        <v>1777</v>
      </c>
      <c r="E153" t="s">
        <v>1320</v>
      </c>
      <c r="G153" s="1">
        <v>3</v>
      </c>
    </row>
    <row r="154" spans="1:9" hidden="1" x14ac:dyDescent="0.25">
      <c r="A154" s="94" t="s">
        <v>225</v>
      </c>
      <c r="B154" s="94" t="s">
        <v>785</v>
      </c>
      <c r="C154" s="94" t="s">
        <v>1823</v>
      </c>
      <c r="D154" s="94" t="s">
        <v>1837</v>
      </c>
      <c r="E154" s="94" t="s">
        <v>1272</v>
      </c>
      <c r="F154" s="94" t="s">
        <v>531</v>
      </c>
      <c r="G154" s="95">
        <v>1</v>
      </c>
      <c r="H154" s="94"/>
      <c r="I154" s="94"/>
    </row>
    <row r="155" spans="1:9" hidden="1" x14ac:dyDescent="0.25">
      <c r="A155" s="94" t="s">
        <v>225</v>
      </c>
      <c r="B155" s="94" t="s">
        <v>1729</v>
      </c>
      <c r="C155" s="94" t="s">
        <v>1268</v>
      </c>
      <c r="D155" s="94" t="s">
        <v>1837</v>
      </c>
      <c r="E155" s="94" t="s">
        <v>1272</v>
      </c>
      <c r="F155" s="94"/>
      <c r="G155" s="95">
        <v>1</v>
      </c>
      <c r="H155" s="94"/>
      <c r="I155" s="94"/>
    </row>
    <row r="156" spans="1:9" hidden="1" x14ac:dyDescent="0.25">
      <c r="A156" t="s">
        <v>144</v>
      </c>
      <c r="B156" t="s">
        <v>695</v>
      </c>
      <c r="C156" t="s">
        <v>233</v>
      </c>
      <c r="D156" t="s">
        <v>1777</v>
      </c>
      <c r="E156" t="s">
        <v>1320</v>
      </c>
      <c r="G156" s="1">
        <v>1</v>
      </c>
    </row>
    <row r="157" spans="1:9" hidden="1" x14ac:dyDescent="0.25">
      <c r="A157" t="s">
        <v>144</v>
      </c>
      <c r="B157" t="s">
        <v>145</v>
      </c>
      <c r="C157" t="s">
        <v>1311</v>
      </c>
      <c r="D157" t="s">
        <v>1778</v>
      </c>
      <c r="E157" t="s">
        <v>1323</v>
      </c>
      <c r="G157" s="1">
        <v>1</v>
      </c>
    </row>
    <row r="158" spans="1:9" hidden="1" x14ac:dyDescent="0.25">
      <c r="A158" t="s">
        <v>144</v>
      </c>
      <c r="B158" t="s">
        <v>695</v>
      </c>
      <c r="C158" t="s">
        <v>696</v>
      </c>
      <c r="D158" t="s">
        <v>1790</v>
      </c>
      <c r="E158" t="s">
        <v>1320</v>
      </c>
      <c r="G158" s="1">
        <v>1</v>
      </c>
    </row>
    <row r="159" spans="1:9" hidden="1" x14ac:dyDescent="0.25">
      <c r="A159" t="s">
        <v>144</v>
      </c>
      <c r="B159" t="s">
        <v>1048</v>
      </c>
      <c r="C159" t="s">
        <v>1274</v>
      </c>
      <c r="D159" t="s">
        <v>1801</v>
      </c>
      <c r="E159" t="s">
        <v>1804</v>
      </c>
    </row>
    <row r="160" spans="1:9" hidden="1" x14ac:dyDescent="0.25">
      <c r="A160" t="s">
        <v>144</v>
      </c>
      <c r="B160" t="s">
        <v>695</v>
      </c>
      <c r="D160" t="s">
        <v>1812</v>
      </c>
      <c r="E160" t="s">
        <v>1264</v>
      </c>
      <c r="G160" s="1">
        <v>1</v>
      </c>
    </row>
    <row r="161" spans="1:9" hidden="1" x14ac:dyDescent="0.25">
      <c r="A161" t="s">
        <v>144</v>
      </c>
      <c r="B161" t="s">
        <v>695</v>
      </c>
      <c r="D161" t="s">
        <v>1812</v>
      </c>
      <c r="E161" t="s">
        <v>1271</v>
      </c>
      <c r="G161" s="1">
        <v>1</v>
      </c>
    </row>
    <row r="162" spans="1:9" hidden="1" x14ac:dyDescent="0.25">
      <c r="A162" s="94" t="s">
        <v>90</v>
      </c>
      <c r="B162" s="94" t="s">
        <v>1830</v>
      </c>
      <c r="C162" s="94" t="s">
        <v>1818</v>
      </c>
      <c r="D162" s="94" t="s">
        <v>1837</v>
      </c>
      <c r="E162" s="94" t="s">
        <v>1272</v>
      </c>
      <c r="F162" s="94"/>
      <c r="G162" s="95">
        <v>1</v>
      </c>
      <c r="H162" s="94"/>
      <c r="I162" s="94"/>
    </row>
    <row r="163" spans="1:9" hidden="1" x14ac:dyDescent="0.25">
      <c r="A163" s="96" t="s">
        <v>90</v>
      </c>
      <c r="B163" s="96" t="s">
        <v>1852</v>
      </c>
      <c r="C163" s="96" t="s">
        <v>1258</v>
      </c>
      <c r="D163" s="96" t="s">
        <v>1848</v>
      </c>
      <c r="E163" s="96" t="s">
        <v>1853</v>
      </c>
      <c r="F163" s="96"/>
      <c r="G163" s="97">
        <v>1</v>
      </c>
      <c r="H163" s="96"/>
      <c r="I163" s="96"/>
    </row>
    <row r="164" spans="1:9" hidden="1" x14ac:dyDescent="0.25">
      <c r="A164" s="94" t="s">
        <v>144</v>
      </c>
      <c r="B164" s="94" t="s">
        <v>145</v>
      </c>
      <c r="C164" s="94" t="s">
        <v>1923</v>
      </c>
      <c r="D164" s="94" t="s">
        <v>1812</v>
      </c>
      <c r="E164" s="94" t="s">
        <v>1309</v>
      </c>
      <c r="F164" s="94" t="s">
        <v>537</v>
      </c>
      <c r="G164" s="95">
        <v>2</v>
      </c>
    </row>
    <row r="165" spans="1:9" hidden="1" x14ac:dyDescent="0.25">
      <c r="A165" s="94" t="s">
        <v>144</v>
      </c>
      <c r="B165" s="94" t="s">
        <v>584</v>
      </c>
      <c r="C165" s="94"/>
      <c r="D165" s="94" t="s">
        <v>1812</v>
      </c>
      <c r="E165" s="94" t="s">
        <v>1309</v>
      </c>
      <c r="F165" s="94" t="s">
        <v>537</v>
      </c>
      <c r="G165" s="95">
        <v>1</v>
      </c>
    </row>
    <row r="166" spans="1:9" hidden="1" x14ac:dyDescent="0.25">
      <c r="A166" s="94" t="s">
        <v>144</v>
      </c>
      <c r="B166" s="94" t="s">
        <v>541</v>
      </c>
      <c r="C166" s="94"/>
      <c r="D166" s="94" t="s">
        <v>1812</v>
      </c>
      <c r="E166" s="94" t="s">
        <v>1302</v>
      </c>
      <c r="F166" s="94" t="s">
        <v>537</v>
      </c>
      <c r="G166" s="95">
        <v>1</v>
      </c>
    </row>
    <row r="167" spans="1:9" hidden="1" x14ac:dyDescent="0.25">
      <c r="A167" s="94" t="s">
        <v>144</v>
      </c>
      <c r="B167" s="94" t="s">
        <v>1091</v>
      </c>
      <c r="C167" s="94"/>
      <c r="D167" s="94" t="s">
        <v>1778</v>
      </c>
      <c r="E167" s="94" t="s">
        <v>1302</v>
      </c>
      <c r="F167" s="94" t="s">
        <v>537</v>
      </c>
      <c r="G167" s="95">
        <v>1</v>
      </c>
    </row>
    <row r="168" spans="1:9" hidden="1" x14ac:dyDescent="0.25">
      <c r="A168" s="94" t="s">
        <v>144</v>
      </c>
      <c r="B168" s="94" t="s">
        <v>541</v>
      </c>
      <c r="C168" s="94"/>
      <c r="D168" s="94" t="s">
        <v>1931</v>
      </c>
      <c r="E168" s="94" t="s">
        <v>1302</v>
      </c>
      <c r="F168" s="94" t="s">
        <v>537</v>
      </c>
      <c r="G168" s="95">
        <v>1</v>
      </c>
    </row>
    <row r="169" spans="1:9" hidden="1" x14ac:dyDescent="0.25">
      <c r="A169" s="96" t="s">
        <v>30</v>
      </c>
      <c r="B169" s="96" t="s">
        <v>1277</v>
      </c>
      <c r="C169" s="96" t="s">
        <v>1258</v>
      </c>
      <c r="D169" s="96" t="s">
        <v>1838</v>
      </c>
      <c r="E169" s="96" t="s">
        <v>1261</v>
      </c>
      <c r="F169" s="96"/>
      <c r="G169" s="95">
        <v>1</v>
      </c>
      <c r="H169" s="96"/>
      <c r="I169" s="96"/>
    </row>
    <row r="170" spans="1:9" hidden="1" x14ac:dyDescent="0.25">
      <c r="A170" s="96" t="s">
        <v>30</v>
      </c>
      <c r="B170" s="97">
        <v>323</v>
      </c>
      <c r="C170" s="96" t="s">
        <v>33</v>
      </c>
      <c r="D170" s="96" t="s">
        <v>1838</v>
      </c>
      <c r="E170" s="96" t="s">
        <v>1842</v>
      </c>
      <c r="F170" s="96"/>
      <c r="G170" s="97">
        <v>2</v>
      </c>
      <c r="H170" s="96"/>
      <c r="I170" s="96"/>
    </row>
    <row r="171" spans="1:9" hidden="1" x14ac:dyDescent="0.25">
      <c r="A171" s="94" t="s">
        <v>144</v>
      </c>
      <c r="B171" s="94" t="s">
        <v>541</v>
      </c>
      <c r="C171" s="94"/>
      <c r="D171" s="94" t="s">
        <v>1934</v>
      </c>
      <c r="E171" s="94" t="s">
        <v>1309</v>
      </c>
      <c r="F171" s="94" t="s">
        <v>537</v>
      </c>
      <c r="G171" s="95">
        <v>0</v>
      </c>
    </row>
    <row r="172" spans="1:9" hidden="1" x14ac:dyDescent="0.25">
      <c r="A172" t="s">
        <v>548</v>
      </c>
      <c r="B172" t="s">
        <v>1661</v>
      </c>
      <c r="C172" t="s">
        <v>1282</v>
      </c>
      <c r="D172" t="s">
        <v>1660</v>
      </c>
      <c r="E172" t="s">
        <v>1271</v>
      </c>
      <c r="G172" s="1">
        <v>1</v>
      </c>
    </row>
    <row r="173" spans="1:9" hidden="1" x14ac:dyDescent="0.25">
      <c r="A173" t="s">
        <v>548</v>
      </c>
      <c r="B173" t="s">
        <v>1661</v>
      </c>
      <c r="C173">
        <v>1988</v>
      </c>
      <c r="D173" t="s">
        <v>1685</v>
      </c>
      <c r="E173" t="s">
        <v>1323</v>
      </c>
      <c r="G173" s="1">
        <v>1</v>
      </c>
    </row>
    <row r="174" spans="1:9" hidden="1" x14ac:dyDescent="0.25">
      <c r="A174" t="s">
        <v>548</v>
      </c>
      <c r="B174" t="s">
        <v>1661</v>
      </c>
      <c r="C174" t="s">
        <v>817</v>
      </c>
      <c r="D174" t="s">
        <v>1733</v>
      </c>
      <c r="E174" t="s">
        <v>1320</v>
      </c>
      <c r="G174" s="1">
        <v>1</v>
      </c>
    </row>
    <row r="175" spans="1:9" hidden="1" x14ac:dyDescent="0.25">
      <c r="A175" t="s">
        <v>548</v>
      </c>
      <c r="B175" t="s">
        <v>1765</v>
      </c>
      <c r="C175" t="s">
        <v>720</v>
      </c>
      <c r="D175" t="s">
        <v>1763</v>
      </c>
      <c r="E175" t="s">
        <v>1323</v>
      </c>
      <c r="G175" s="1">
        <v>1</v>
      </c>
    </row>
    <row r="176" spans="1:9" hidden="1" x14ac:dyDescent="0.25">
      <c r="A176" s="96" t="s">
        <v>1885</v>
      </c>
      <c r="B176" s="96" t="s">
        <v>1886</v>
      </c>
      <c r="C176" s="96" t="s">
        <v>40</v>
      </c>
      <c r="D176" s="96" t="s">
        <v>1884</v>
      </c>
      <c r="E176" s="96" t="s">
        <v>1320</v>
      </c>
      <c r="F176" s="96"/>
      <c r="G176" s="97">
        <v>1</v>
      </c>
      <c r="H176" s="96"/>
      <c r="I176" s="96"/>
    </row>
    <row r="177" spans="1:9" hidden="1" x14ac:dyDescent="0.25">
      <c r="A177" t="s">
        <v>55</v>
      </c>
      <c r="B177" t="s">
        <v>1028</v>
      </c>
      <c r="C177" t="s">
        <v>29</v>
      </c>
      <c r="D177" t="s">
        <v>1650</v>
      </c>
      <c r="E177" t="s">
        <v>1320</v>
      </c>
      <c r="G177" s="1">
        <v>1</v>
      </c>
    </row>
    <row r="178" spans="1:9" hidden="1" x14ac:dyDescent="0.25">
      <c r="A178" t="s">
        <v>55</v>
      </c>
      <c r="B178">
        <v>137</v>
      </c>
      <c r="D178" t="s">
        <v>1733</v>
      </c>
      <c r="E178" t="s">
        <v>1323</v>
      </c>
      <c r="F178" t="s">
        <v>250</v>
      </c>
      <c r="G178" s="1">
        <v>1</v>
      </c>
    </row>
    <row r="179" spans="1:9" hidden="1" x14ac:dyDescent="0.25">
      <c r="A179" t="s">
        <v>422</v>
      </c>
      <c r="B179" t="s">
        <v>1273</v>
      </c>
      <c r="C179" t="s">
        <v>29</v>
      </c>
      <c r="D179" t="s">
        <v>1670</v>
      </c>
      <c r="E179" t="s">
        <v>1320</v>
      </c>
      <c r="G179" s="1">
        <v>1</v>
      </c>
    </row>
    <row r="180" spans="1:9" hidden="1" x14ac:dyDescent="0.25">
      <c r="A180" t="s">
        <v>422</v>
      </c>
      <c r="B180" t="s">
        <v>1273</v>
      </c>
      <c r="C180" t="s">
        <v>681</v>
      </c>
      <c r="D180" t="s">
        <v>1708</v>
      </c>
      <c r="E180" t="s">
        <v>1309</v>
      </c>
      <c r="G180" s="1">
        <v>1</v>
      </c>
    </row>
    <row r="181" spans="1:9" hidden="1" x14ac:dyDescent="0.25">
      <c r="A181" t="s">
        <v>422</v>
      </c>
      <c r="B181" t="s">
        <v>1729</v>
      </c>
      <c r="C181" t="s">
        <v>1317</v>
      </c>
      <c r="D181" t="s">
        <v>1805</v>
      </c>
      <c r="E181" t="s">
        <v>1264</v>
      </c>
      <c r="G181" s="1">
        <v>1</v>
      </c>
    </row>
    <row r="182" spans="1:9" hidden="1" x14ac:dyDescent="0.25">
      <c r="A182" t="s">
        <v>422</v>
      </c>
      <c r="B182" t="s">
        <v>1813</v>
      </c>
      <c r="C182" t="s">
        <v>149</v>
      </c>
      <c r="D182" t="s">
        <v>997</v>
      </c>
      <c r="E182" t="s">
        <v>444</v>
      </c>
      <c r="F182" t="s">
        <v>1730</v>
      </c>
      <c r="G182" s="1">
        <v>1</v>
      </c>
    </row>
    <row r="183" spans="1:9" hidden="1" x14ac:dyDescent="0.25">
      <c r="A183" t="s">
        <v>422</v>
      </c>
      <c r="B183" t="s">
        <v>1012</v>
      </c>
      <c r="C183" t="s">
        <v>377</v>
      </c>
      <c r="D183" t="s">
        <v>1895</v>
      </c>
      <c r="E183" t="s">
        <v>1271</v>
      </c>
      <c r="G183" s="1">
        <v>1</v>
      </c>
      <c r="H183" s="117">
        <v>25000</v>
      </c>
      <c r="I183" s="117">
        <v>70000</v>
      </c>
    </row>
    <row r="184" spans="1:9" hidden="1" x14ac:dyDescent="0.25">
      <c r="A184" t="s">
        <v>241</v>
      </c>
      <c r="B184" t="s">
        <v>1606</v>
      </c>
      <c r="C184" t="s">
        <v>94</v>
      </c>
      <c r="D184" t="s">
        <v>1652</v>
      </c>
      <c r="E184" t="s">
        <v>1323</v>
      </c>
      <c r="F184" t="s">
        <v>24</v>
      </c>
      <c r="G184" s="1">
        <v>1</v>
      </c>
    </row>
    <row r="185" spans="1:9" hidden="1" x14ac:dyDescent="0.25">
      <c r="A185" t="s">
        <v>241</v>
      </c>
      <c r="B185" t="s">
        <v>1659</v>
      </c>
      <c r="D185" t="s">
        <v>1660</v>
      </c>
      <c r="E185" t="s">
        <v>1323</v>
      </c>
      <c r="F185" t="s">
        <v>191</v>
      </c>
      <c r="G185" s="1">
        <v>1</v>
      </c>
    </row>
    <row r="186" spans="1:9" hidden="1" x14ac:dyDescent="0.25">
      <c r="A186" t="s">
        <v>241</v>
      </c>
      <c r="B186" t="s">
        <v>1017</v>
      </c>
      <c r="C186" t="s">
        <v>1019</v>
      </c>
      <c r="D186" t="s">
        <v>1660</v>
      </c>
      <c r="E186" t="s">
        <v>1309</v>
      </c>
      <c r="F186" t="s">
        <v>961</v>
      </c>
      <c r="G186" s="1">
        <v>1</v>
      </c>
    </row>
    <row r="187" spans="1:9" hidden="1" x14ac:dyDescent="0.25">
      <c r="A187" t="s">
        <v>241</v>
      </c>
      <c r="B187" t="s">
        <v>1095</v>
      </c>
      <c r="C187" t="s">
        <v>28</v>
      </c>
      <c r="D187" t="s">
        <v>1672</v>
      </c>
      <c r="E187" t="s">
        <v>1323</v>
      </c>
      <c r="G187" s="1">
        <v>1</v>
      </c>
    </row>
    <row r="188" spans="1:9" hidden="1" x14ac:dyDescent="0.25">
      <c r="A188" t="s">
        <v>241</v>
      </c>
      <c r="B188" t="s">
        <v>364</v>
      </c>
      <c r="C188" t="s">
        <v>629</v>
      </c>
      <c r="D188" t="s">
        <v>1672</v>
      </c>
      <c r="E188" t="s">
        <v>1302</v>
      </c>
      <c r="G188" s="1">
        <v>1</v>
      </c>
    </row>
    <row r="189" spans="1:9" hidden="1" x14ac:dyDescent="0.25">
      <c r="A189" t="s">
        <v>241</v>
      </c>
      <c r="B189" t="s">
        <v>1107</v>
      </c>
      <c r="C189" t="s">
        <v>119</v>
      </c>
      <c r="D189" t="s">
        <v>1686</v>
      </c>
      <c r="E189" t="s">
        <v>1309</v>
      </c>
      <c r="G189" s="1">
        <v>1</v>
      </c>
    </row>
    <row r="190" spans="1:9" hidden="1" x14ac:dyDescent="0.25">
      <c r="A190" t="s">
        <v>241</v>
      </c>
      <c r="B190" t="s">
        <v>1107</v>
      </c>
      <c r="C190" t="s">
        <v>428</v>
      </c>
      <c r="D190" t="s">
        <v>1690</v>
      </c>
      <c r="E190" t="s">
        <v>1323</v>
      </c>
      <c r="G190" s="1">
        <v>1</v>
      </c>
    </row>
    <row r="191" spans="1:9" hidden="1" x14ac:dyDescent="0.25">
      <c r="A191" t="s">
        <v>241</v>
      </c>
      <c r="B191" t="s">
        <v>1107</v>
      </c>
      <c r="C191">
        <v>1999</v>
      </c>
      <c r="D191" t="s">
        <v>1690</v>
      </c>
      <c r="E191" t="s">
        <v>1323</v>
      </c>
      <c r="G191" s="1">
        <v>1</v>
      </c>
    </row>
    <row r="192" spans="1:9" hidden="1" x14ac:dyDescent="0.25">
      <c r="A192" t="s">
        <v>241</v>
      </c>
      <c r="B192" t="s">
        <v>1659</v>
      </c>
      <c r="C192" t="s">
        <v>703</v>
      </c>
      <c r="D192" t="s">
        <v>1693</v>
      </c>
      <c r="E192" t="s">
        <v>1320</v>
      </c>
      <c r="G192" s="1">
        <v>0</v>
      </c>
    </row>
    <row r="193" spans="1:9" hidden="1" x14ac:dyDescent="0.25">
      <c r="A193" t="s">
        <v>241</v>
      </c>
      <c r="B193" t="s">
        <v>1107</v>
      </c>
      <c r="C193" t="s">
        <v>31</v>
      </c>
      <c r="D193" t="s">
        <v>1703</v>
      </c>
      <c r="E193" t="s">
        <v>1302</v>
      </c>
      <c r="G193" s="1">
        <v>1</v>
      </c>
    </row>
    <row r="194" spans="1:9" hidden="1" x14ac:dyDescent="0.25">
      <c r="A194" t="s">
        <v>241</v>
      </c>
      <c r="B194" t="s">
        <v>1107</v>
      </c>
      <c r="C194" t="s">
        <v>1284</v>
      </c>
      <c r="D194" t="s">
        <v>1713</v>
      </c>
      <c r="E194" t="s">
        <v>444</v>
      </c>
      <c r="G194" s="1">
        <v>1</v>
      </c>
    </row>
    <row r="195" spans="1:9" hidden="1" x14ac:dyDescent="0.25">
      <c r="A195" t="s">
        <v>241</v>
      </c>
      <c r="B195" t="s">
        <v>1107</v>
      </c>
      <c r="C195">
        <v>2004</v>
      </c>
      <c r="D195" t="s">
        <v>1715</v>
      </c>
      <c r="E195" t="s">
        <v>1714</v>
      </c>
      <c r="G195" s="1">
        <v>2</v>
      </c>
    </row>
    <row r="196" spans="1:9" hidden="1" x14ac:dyDescent="0.25">
      <c r="A196" t="s">
        <v>241</v>
      </c>
      <c r="B196" t="s">
        <v>1095</v>
      </c>
      <c r="C196" t="s">
        <v>1307</v>
      </c>
      <c r="D196" t="s">
        <v>1728</v>
      </c>
      <c r="E196" t="s">
        <v>1302</v>
      </c>
      <c r="G196" s="1">
        <v>1</v>
      </c>
    </row>
    <row r="197" spans="1:9" hidden="1" x14ac:dyDescent="0.25">
      <c r="A197" t="s">
        <v>241</v>
      </c>
      <c r="B197" t="s">
        <v>337</v>
      </c>
      <c r="C197" t="s">
        <v>1146</v>
      </c>
      <c r="D197" t="s">
        <v>1728</v>
      </c>
      <c r="E197" t="s">
        <v>1323</v>
      </c>
      <c r="G197" s="1">
        <v>1</v>
      </c>
    </row>
    <row r="198" spans="1:9" hidden="1" x14ac:dyDescent="0.25">
      <c r="A198" t="s">
        <v>241</v>
      </c>
      <c r="B198" t="s">
        <v>1752</v>
      </c>
      <c r="C198" t="s">
        <v>54</v>
      </c>
      <c r="D198" t="s">
        <v>1751</v>
      </c>
      <c r="E198" t="s">
        <v>1302</v>
      </c>
      <c r="G198" s="1">
        <v>1</v>
      </c>
    </row>
    <row r="199" spans="1:9" hidden="1" x14ac:dyDescent="0.25">
      <c r="A199" t="s">
        <v>241</v>
      </c>
      <c r="B199" t="s">
        <v>1017</v>
      </c>
      <c r="C199" t="s">
        <v>1276</v>
      </c>
      <c r="D199" t="s">
        <v>1761</v>
      </c>
      <c r="E199" t="s">
        <v>1323</v>
      </c>
      <c r="G199" s="1">
        <v>1</v>
      </c>
    </row>
    <row r="200" spans="1:9" hidden="1" x14ac:dyDescent="0.25">
      <c r="A200" t="s">
        <v>241</v>
      </c>
      <c r="B200" t="s">
        <v>1095</v>
      </c>
      <c r="C200" t="s">
        <v>1308</v>
      </c>
      <c r="D200" t="s">
        <v>1763</v>
      </c>
      <c r="E200" t="s">
        <v>1309</v>
      </c>
      <c r="G200" s="1">
        <v>1</v>
      </c>
    </row>
    <row r="201" spans="1:9" hidden="1" x14ac:dyDescent="0.25">
      <c r="A201" t="s">
        <v>241</v>
      </c>
      <c r="B201" t="s">
        <v>1095</v>
      </c>
      <c r="C201" t="s">
        <v>382</v>
      </c>
      <c r="D201" t="s">
        <v>1679</v>
      </c>
      <c r="E201" t="s">
        <v>1320</v>
      </c>
      <c r="G201" s="1">
        <v>1</v>
      </c>
    </row>
    <row r="202" spans="1:9" hidden="1" x14ac:dyDescent="0.25">
      <c r="A202" t="s">
        <v>241</v>
      </c>
      <c r="B202" t="s">
        <v>1017</v>
      </c>
      <c r="C202" t="s">
        <v>625</v>
      </c>
      <c r="D202" t="s">
        <v>1679</v>
      </c>
      <c r="E202" t="s">
        <v>1320</v>
      </c>
      <c r="G202" s="1">
        <v>1</v>
      </c>
    </row>
    <row r="203" spans="1:9" hidden="1" x14ac:dyDescent="0.25">
      <c r="A203" s="94" t="s">
        <v>241</v>
      </c>
      <c r="B203" s="94" t="s">
        <v>1017</v>
      </c>
      <c r="C203" s="94" t="s">
        <v>958</v>
      </c>
      <c r="D203" s="94" t="s">
        <v>1837</v>
      </c>
      <c r="E203" s="94" t="s">
        <v>1272</v>
      </c>
      <c r="F203" s="94"/>
      <c r="G203" s="95">
        <v>1</v>
      </c>
      <c r="H203" s="94"/>
      <c r="I203" s="94"/>
    </row>
    <row r="204" spans="1:9" hidden="1" x14ac:dyDescent="0.25">
      <c r="A204" s="94" t="s">
        <v>241</v>
      </c>
      <c r="B204" s="94" t="s">
        <v>367</v>
      </c>
      <c r="C204" s="94" t="s">
        <v>1002</v>
      </c>
      <c r="D204" s="94" t="s">
        <v>1837</v>
      </c>
      <c r="E204" s="94" t="s">
        <v>1827</v>
      </c>
      <c r="F204" s="94" t="s">
        <v>531</v>
      </c>
      <c r="G204" s="95">
        <v>1</v>
      </c>
      <c r="H204" s="94"/>
      <c r="I204" s="94"/>
    </row>
    <row r="205" spans="1:9" hidden="1" x14ac:dyDescent="0.25">
      <c r="A205" s="94" t="s">
        <v>241</v>
      </c>
      <c r="B205" s="94" t="s">
        <v>1017</v>
      </c>
      <c r="C205" s="94" t="s">
        <v>743</v>
      </c>
      <c r="D205" s="94" t="s">
        <v>1837</v>
      </c>
      <c r="E205" s="94" t="s">
        <v>1272</v>
      </c>
      <c r="F205" s="94" t="s">
        <v>250</v>
      </c>
      <c r="G205" s="95">
        <v>1</v>
      </c>
      <c r="H205" s="94"/>
      <c r="I205" s="94"/>
    </row>
    <row r="206" spans="1:9" hidden="1" x14ac:dyDescent="0.25">
      <c r="A206" s="96" t="s">
        <v>241</v>
      </c>
      <c r="B206" s="96" t="s">
        <v>1017</v>
      </c>
      <c r="C206" s="96" t="s">
        <v>1018</v>
      </c>
      <c r="D206" s="96" t="s">
        <v>1838</v>
      </c>
      <c r="E206" s="96" t="s">
        <v>1840</v>
      </c>
      <c r="F206" s="96"/>
      <c r="G206" s="95">
        <v>1</v>
      </c>
      <c r="H206" s="96"/>
      <c r="I206" s="96"/>
    </row>
    <row r="207" spans="1:9" hidden="1" x14ac:dyDescent="0.25">
      <c r="A207" s="96" t="s">
        <v>241</v>
      </c>
      <c r="B207" s="96" t="s">
        <v>367</v>
      </c>
      <c r="C207" s="96" t="s">
        <v>1258</v>
      </c>
      <c r="D207" s="96" t="s">
        <v>1838</v>
      </c>
      <c r="E207" s="96" t="s">
        <v>1842</v>
      </c>
      <c r="F207" s="96" t="s">
        <v>250</v>
      </c>
      <c r="G207" s="97">
        <v>1</v>
      </c>
      <c r="H207" s="96"/>
      <c r="I207" s="96"/>
    </row>
    <row r="208" spans="1:9" hidden="1" x14ac:dyDescent="0.25">
      <c r="A208" t="s">
        <v>241</v>
      </c>
      <c r="B208" t="s">
        <v>364</v>
      </c>
      <c r="C208" t="s">
        <v>1258</v>
      </c>
      <c r="D208" t="s">
        <v>1799</v>
      </c>
      <c r="E208" t="s">
        <v>1309</v>
      </c>
      <c r="F208" t="s">
        <v>250</v>
      </c>
      <c r="G208" s="1">
        <v>1</v>
      </c>
    </row>
    <row r="209" spans="1:9" hidden="1" x14ac:dyDescent="0.25">
      <c r="A209" t="s">
        <v>241</v>
      </c>
      <c r="B209" t="s">
        <v>1017</v>
      </c>
      <c r="C209" t="s">
        <v>1019</v>
      </c>
      <c r="D209" t="s">
        <v>1799</v>
      </c>
      <c r="E209" t="s">
        <v>1309</v>
      </c>
      <c r="F209" t="s">
        <v>24</v>
      </c>
      <c r="G209" s="1">
        <v>1</v>
      </c>
    </row>
    <row r="210" spans="1:9" s="153" customFormat="1" hidden="1" x14ac:dyDescent="0.25">
      <c r="A210" t="s">
        <v>241</v>
      </c>
      <c r="B210" t="s">
        <v>244</v>
      </c>
      <c r="C210"/>
      <c r="D210" t="s">
        <v>1805</v>
      </c>
      <c r="E210" t="s">
        <v>1302</v>
      </c>
      <c r="F210"/>
      <c r="G210" s="1">
        <v>1</v>
      </c>
      <c r="H210"/>
      <c r="I210"/>
    </row>
    <row r="211" spans="1:9" hidden="1" x14ac:dyDescent="0.25">
      <c r="A211" s="96" t="s">
        <v>241</v>
      </c>
      <c r="B211" s="96" t="s">
        <v>1107</v>
      </c>
      <c r="C211" s="96" t="s">
        <v>1844</v>
      </c>
      <c r="D211" s="96" t="s">
        <v>1838</v>
      </c>
      <c r="E211" s="96" t="s">
        <v>1804</v>
      </c>
      <c r="F211" s="96"/>
      <c r="G211" s="97">
        <v>1</v>
      </c>
      <c r="H211" s="96"/>
      <c r="I211" s="96"/>
    </row>
    <row r="212" spans="1:9" hidden="1" x14ac:dyDescent="0.25">
      <c r="A212" t="s">
        <v>422</v>
      </c>
      <c r="B212" t="s">
        <v>1273</v>
      </c>
      <c r="C212" t="s">
        <v>1003</v>
      </c>
      <c r="D212" t="s">
        <v>1715</v>
      </c>
      <c r="E212" t="s">
        <v>1272</v>
      </c>
      <c r="G212" s="1">
        <v>1</v>
      </c>
    </row>
    <row r="213" spans="1:9" hidden="1" x14ac:dyDescent="0.25">
      <c r="A213" s="94" t="s">
        <v>241</v>
      </c>
      <c r="B213" s="94" t="s">
        <v>269</v>
      </c>
      <c r="C213" s="94"/>
      <c r="D213" s="94" t="s">
        <v>1925</v>
      </c>
      <c r="E213" s="94" t="s">
        <v>1264</v>
      </c>
      <c r="F213" s="94" t="s">
        <v>537</v>
      </c>
      <c r="G213" s="95">
        <v>1</v>
      </c>
    </row>
    <row r="214" spans="1:9" hidden="1" x14ac:dyDescent="0.25">
      <c r="A214" t="s">
        <v>1265</v>
      </c>
      <c r="B214" t="s">
        <v>337</v>
      </c>
      <c r="C214" t="s">
        <v>868</v>
      </c>
      <c r="D214" t="s">
        <v>1653</v>
      </c>
      <c r="E214" t="s">
        <v>1323</v>
      </c>
      <c r="G214" s="1">
        <v>1</v>
      </c>
    </row>
    <row r="215" spans="1:9" hidden="1" x14ac:dyDescent="0.25">
      <c r="A215" t="s">
        <v>1265</v>
      </c>
      <c r="B215" t="s">
        <v>1802</v>
      </c>
      <c r="D215" t="s">
        <v>1801</v>
      </c>
      <c r="E215" t="s">
        <v>1264</v>
      </c>
      <c r="G215" s="1">
        <v>1</v>
      </c>
    </row>
    <row r="216" spans="1:9" hidden="1" x14ac:dyDescent="0.25">
      <c r="A216" t="s">
        <v>42</v>
      </c>
      <c r="B216" t="s">
        <v>1269</v>
      </c>
      <c r="D216" t="s">
        <v>1778</v>
      </c>
      <c r="E216" t="s">
        <v>1309</v>
      </c>
      <c r="G216" s="1">
        <v>1</v>
      </c>
    </row>
    <row r="217" spans="1:9" hidden="1" x14ac:dyDescent="0.25">
      <c r="A217" t="s">
        <v>947</v>
      </c>
      <c r="B217" t="s">
        <v>1786</v>
      </c>
      <c r="D217" t="s">
        <v>1784</v>
      </c>
      <c r="E217" t="s">
        <v>1320</v>
      </c>
      <c r="G217" s="1">
        <v>1</v>
      </c>
    </row>
    <row r="218" spans="1:9" hidden="1" x14ac:dyDescent="0.25">
      <c r="A218" s="135" t="s">
        <v>30</v>
      </c>
      <c r="B218" s="135" t="s">
        <v>1277</v>
      </c>
      <c r="C218" s="135" t="s">
        <v>54</v>
      </c>
      <c r="D218" s="135" t="s">
        <v>1677</v>
      </c>
      <c r="E218" s="135" t="s">
        <v>1302</v>
      </c>
      <c r="F218" s="135" t="s">
        <v>1607</v>
      </c>
      <c r="G218" s="136">
        <v>1</v>
      </c>
      <c r="H218" s="135"/>
      <c r="I218" s="135"/>
    </row>
    <row r="219" spans="1:9" hidden="1" x14ac:dyDescent="0.25">
      <c r="A219" t="s">
        <v>30</v>
      </c>
      <c r="B219" t="s">
        <v>1796</v>
      </c>
      <c r="C219" t="s">
        <v>729</v>
      </c>
      <c r="D219" t="s">
        <v>1790</v>
      </c>
      <c r="E219" t="s">
        <v>1320</v>
      </c>
      <c r="F219" t="s">
        <v>531</v>
      </c>
      <c r="G219" s="1">
        <v>1</v>
      </c>
    </row>
    <row r="220" spans="1:9" hidden="1" x14ac:dyDescent="0.25">
      <c r="A220" t="s">
        <v>30</v>
      </c>
      <c r="B220" t="s">
        <v>1800</v>
      </c>
      <c r="C220" t="s">
        <v>949</v>
      </c>
      <c r="D220" t="s">
        <v>1799</v>
      </c>
      <c r="E220" t="s">
        <v>1309</v>
      </c>
      <c r="F220" t="s">
        <v>24</v>
      </c>
      <c r="G220" s="1">
        <v>1</v>
      </c>
    </row>
    <row r="221" spans="1:9" hidden="1" x14ac:dyDescent="0.25">
      <c r="A221" s="94" t="s">
        <v>30</v>
      </c>
      <c r="B221" s="94" t="s">
        <v>1919</v>
      </c>
      <c r="C221" s="94" t="s">
        <v>1918</v>
      </c>
      <c r="D221" s="94" t="s">
        <v>1812</v>
      </c>
      <c r="E221" s="94" t="s">
        <v>1320</v>
      </c>
      <c r="F221" s="94" t="s">
        <v>537</v>
      </c>
      <c r="G221" s="95">
        <v>1</v>
      </c>
    </row>
    <row r="222" spans="1:9" hidden="1" x14ac:dyDescent="0.25">
      <c r="A222" s="94" t="s">
        <v>30</v>
      </c>
      <c r="B222" s="94">
        <v>2</v>
      </c>
      <c r="C222" s="94" t="s">
        <v>1099</v>
      </c>
      <c r="D222" s="94" t="s">
        <v>1812</v>
      </c>
      <c r="E222" s="94" t="s">
        <v>1320</v>
      </c>
      <c r="F222" s="94" t="s">
        <v>537</v>
      </c>
      <c r="G222" s="95">
        <v>1</v>
      </c>
    </row>
    <row r="223" spans="1:9" hidden="1" x14ac:dyDescent="0.25">
      <c r="A223" s="94" t="s">
        <v>30</v>
      </c>
      <c r="B223" s="94">
        <v>2</v>
      </c>
      <c r="C223" s="94" t="s">
        <v>1099</v>
      </c>
      <c r="D223" s="94" t="s">
        <v>1812</v>
      </c>
      <c r="E223" s="94" t="s">
        <v>1323</v>
      </c>
      <c r="F223" s="94" t="s">
        <v>537</v>
      </c>
      <c r="G223" s="95">
        <v>1</v>
      </c>
    </row>
    <row r="224" spans="1:9" hidden="1" x14ac:dyDescent="0.25">
      <c r="A224" s="94" t="s">
        <v>30</v>
      </c>
      <c r="B224" s="94" t="s">
        <v>1930</v>
      </c>
      <c r="C224" s="94" t="s">
        <v>110</v>
      </c>
      <c r="D224" s="94" t="s">
        <v>1931</v>
      </c>
      <c r="E224" s="94" t="s">
        <v>1302</v>
      </c>
      <c r="F224" s="94" t="s">
        <v>537</v>
      </c>
      <c r="G224" s="95">
        <v>1</v>
      </c>
    </row>
    <row r="225" spans="1:7" hidden="1" x14ac:dyDescent="0.25">
      <c r="A225" s="94" t="s">
        <v>30</v>
      </c>
      <c r="B225" s="94">
        <v>6</v>
      </c>
      <c r="C225" s="94" t="s">
        <v>1824</v>
      </c>
      <c r="D225" s="94" t="s">
        <v>1931</v>
      </c>
      <c r="E225" s="94" t="s">
        <v>1302</v>
      </c>
      <c r="F225" s="94" t="s">
        <v>537</v>
      </c>
      <c r="G225" s="95">
        <v>1</v>
      </c>
    </row>
    <row r="226" spans="1:7" hidden="1" x14ac:dyDescent="0.25">
      <c r="A226" s="94" t="s">
        <v>30</v>
      </c>
      <c r="B226" s="94" t="s">
        <v>1935</v>
      </c>
      <c r="C226" s="94">
        <v>2009</v>
      </c>
      <c r="D226" s="94" t="s">
        <v>1934</v>
      </c>
      <c r="E226" s="94" t="s">
        <v>1323</v>
      </c>
      <c r="F226" s="94" t="s">
        <v>537</v>
      </c>
      <c r="G226" s="95">
        <v>1</v>
      </c>
    </row>
    <row r="227" spans="1:7" x14ac:dyDescent="0.25">
      <c r="A227" t="s">
        <v>1734</v>
      </c>
      <c r="B227" t="s">
        <v>1735</v>
      </c>
      <c r="C227">
        <v>2002</v>
      </c>
      <c r="D227" t="s">
        <v>1733</v>
      </c>
      <c r="E227" t="s">
        <v>1309</v>
      </c>
      <c r="G227" s="1">
        <v>1</v>
      </c>
    </row>
    <row r="228" spans="1:7" x14ac:dyDescent="0.25">
      <c r="A228" t="s">
        <v>1734</v>
      </c>
      <c r="B228" t="s">
        <v>1785</v>
      </c>
      <c r="C228" t="s">
        <v>130</v>
      </c>
      <c r="D228" t="s">
        <v>1784</v>
      </c>
      <c r="E228" t="s">
        <v>1320</v>
      </c>
      <c r="G228" s="1">
        <v>1</v>
      </c>
    </row>
    <row r="229" spans="1:7" hidden="1" x14ac:dyDescent="0.25">
      <c r="A229" t="s">
        <v>90</v>
      </c>
      <c r="B229" t="s">
        <v>1116</v>
      </c>
      <c r="C229" t="s">
        <v>197</v>
      </c>
      <c r="D229" t="s">
        <v>1660</v>
      </c>
      <c r="E229" t="s">
        <v>1320</v>
      </c>
      <c r="G229" s="1">
        <v>1</v>
      </c>
    </row>
    <row r="230" spans="1:7" hidden="1" x14ac:dyDescent="0.25">
      <c r="A230" t="s">
        <v>90</v>
      </c>
      <c r="B230">
        <v>322</v>
      </c>
      <c r="C230" t="s">
        <v>233</v>
      </c>
      <c r="D230" t="s">
        <v>1705</v>
      </c>
      <c r="E230" t="s">
        <v>1323</v>
      </c>
      <c r="G230" s="1">
        <v>1</v>
      </c>
    </row>
    <row r="231" spans="1:7" hidden="1" x14ac:dyDescent="0.25">
      <c r="A231" t="s">
        <v>90</v>
      </c>
      <c r="B231" t="s">
        <v>1116</v>
      </c>
      <c r="C231" t="s">
        <v>40</v>
      </c>
      <c r="D231" t="s">
        <v>1777</v>
      </c>
      <c r="E231" t="s">
        <v>1320</v>
      </c>
      <c r="G231" s="1">
        <v>1</v>
      </c>
    </row>
    <row r="232" spans="1:7" hidden="1" x14ac:dyDescent="0.25">
      <c r="A232" t="s">
        <v>90</v>
      </c>
      <c r="B232" t="s">
        <v>1116</v>
      </c>
      <c r="C232" t="s">
        <v>519</v>
      </c>
      <c r="D232" t="s">
        <v>1790</v>
      </c>
      <c r="E232" t="s">
        <v>1320</v>
      </c>
      <c r="G232" s="1">
        <v>1</v>
      </c>
    </row>
    <row r="233" spans="1:7" hidden="1" x14ac:dyDescent="0.25">
      <c r="A233" t="s">
        <v>225</v>
      </c>
      <c r="B233" t="s">
        <v>778</v>
      </c>
      <c r="C233" t="s">
        <v>909</v>
      </c>
      <c r="D233" t="s">
        <v>1663</v>
      </c>
      <c r="E233" t="s">
        <v>1320</v>
      </c>
      <c r="G233" s="1">
        <v>1</v>
      </c>
    </row>
    <row r="234" spans="1:7" hidden="1" x14ac:dyDescent="0.25">
      <c r="A234" t="s">
        <v>225</v>
      </c>
      <c r="B234" t="s">
        <v>778</v>
      </c>
      <c r="C234" t="s">
        <v>119</v>
      </c>
      <c r="D234" t="s">
        <v>1670</v>
      </c>
      <c r="E234" t="s">
        <v>1323</v>
      </c>
      <c r="G234" s="1">
        <v>1</v>
      </c>
    </row>
    <row r="235" spans="1:7" hidden="1" x14ac:dyDescent="0.25">
      <c r="A235" t="s">
        <v>225</v>
      </c>
      <c r="B235" t="s">
        <v>785</v>
      </c>
      <c r="C235" t="s">
        <v>1295</v>
      </c>
      <c r="D235" t="s">
        <v>1705</v>
      </c>
      <c r="E235" t="s">
        <v>1323</v>
      </c>
      <c r="G235" s="1">
        <v>1</v>
      </c>
    </row>
    <row r="236" spans="1:7" hidden="1" x14ac:dyDescent="0.25">
      <c r="A236" t="s">
        <v>225</v>
      </c>
      <c r="B236" t="s">
        <v>418</v>
      </c>
      <c r="C236">
        <v>1992</v>
      </c>
      <c r="D236" t="s">
        <v>1708</v>
      </c>
      <c r="E236" t="s">
        <v>1323</v>
      </c>
      <c r="G236" s="1">
        <v>1</v>
      </c>
    </row>
    <row r="237" spans="1:7" hidden="1" x14ac:dyDescent="0.25">
      <c r="A237" t="s">
        <v>225</v>
      </c>
      <c r="B237" t="s">
        <v>785</v>
      </c>
      <c r="C237" t="s">
        <v>1293</v>
      </c>
      <c r="D237" t="s">
        <v>1724</v>
      </c>
      <c r="E237" t="s">
        <v>1323</v>
      </c>
      <c r="G237" s="1">
        <v>2</v>
      </c>
    </row>
    <row r="238" spans="1:7" hidden="1" x14ac:dyDescent="0.25">
      <c r="A238" t="s">
        <v>225</v>
      </c>
      <c r="B238" t="s">
        <v>937</v>
      </c>
      <c r="C238" t="s">
        <v>941</v>
      </c>
      <c r="D238" t="s">
        <v>1726</v>
      </c>
      <c r="E238" t="s">
        <v>1264</v>
      </c>
      <c r="G238" s="1">
        <v>1</v>
      </c>
    </row>
    <row r="239" spans="1:7" hidden="1" x14ac:dyDescent="0.25">
      <c r="A239" t="s">
        <v>225</v>
      </c>
      <c r="B239" t="s">
        <v>1729</v>
      </c>
      <c r="C239" t="s">
        <v>1317</v>
      </c>
      <c r="D239" t="s">
        <v>1728</v>
      </c>
      <c r="E239" t="s">
        <v>1309</v>
      </c>
      <c r="G239" s="1">
        <v>1</v>
      </c>
    </row>
    <row r="240" spans="1:7" hidden="1" x14ac:dyDescent="0.25">
      <c r="A240" t="s">
        <v>225</v>
      </c>
      <c r="B240" t="s">
        <v>653</v>
      </c>
      <c r="C240" t="s">
        <v>1284</v>
      </c>
      <c r="D240" t="s">
        <v>1728</v>
      </c>
      <c r="E240" t="s">
        <v>1309</v>
      </c>
      <c r="F240" t="s">
        <v>24</v>
      </c>
      <c r="G240" s="1">
        <v>1</v>
      </c>
    </row>
    <row r="241" spans="1:9" hidden="1" x14ac:dyDescent="0.25">
      <c r="A241" t="s">
        <v>225</v>
      </c>
      <c r="B241" t="s">
        <v>785</v>
      </c>
      <c r="C241" t="s">
        <v>395</v>
      </c>
      <c r="D241" t="s">
        <v>1749</v>
      </c>
      <c r="E241" t="s">
        <v>1323</v>
      </c>
      <c r="G241" s="1">
        <v>1</v>
      </c>
    </row>
    <row r="242" spans="1:9" hidden="1" x14ac:dyDescent="0.25">
      <c r="A242" t="s">
        <v>225</v>
      </c>
      <c r="B242" t="s">
        <v>1770</v>
      </c>
      <c r="D242" t="s">
        <v>1679</v>
      </c>
      <c r="E242" t="s">
        <v>1320</v>
      </c>
      <c r="G242" s="1">
        <v>1</v>
      </c>
    </row>
    <row r="243" spans="1:9" hidden="1" x14ac:dyDescent="0.25">
      <c r="A243" t="s">
        <v>225</v>
      </c>
      <c r="B243" t="s">
        <v>1280</v>
      </c>
      <c r="C243" t="s">
        <v>146</v>
      </c>
      <c r="D243" t="s">
        <v>1771</v>
      </c>
      <c r="E243" t="s">
        <v>1323</v>
      </c>
      <c r="F243" t="s">
        <v>1730</v>
      </c>
      <c r="G243" s="1">
        <v>1</v>
      </c>
    </row>
    <row r="244" spans="1:9" hidden="1" x14ac:dyDescent="0.25">
      <c r="A244" t="s">
        <v>225</v>
      </c>
      <c r="B244" t="s">
        <v>1300</v>
      </c>
      <c r="C244" t="s">
        <v>890</v>
      </c>
      <c r="D244" t="s">
        <v>1801</v>
      </c>
      <c r="E244" t="s">
        <v>1271</v>
      </c>
      <c r="G244" s="1">
        <v>1</v>
      </c>
    </row>
    <row r="245" spans="1:9" hidden="1" x14ac:dyDescent="0.25">
      <c r="A245" s="94" t="s">
        <v>225</v>
      </c>
      <c r="B245" s="94"/>
      <c r="C245" s="94"/>
      <c r="D245" s="94" t="s">
        <v>1812</v>
      </c>
      <c r="E245" s="94" t="s">
        <v>1323</v>
      </c>
      <c r="F245" s="94" t="s">
        <v>537</v>
      </c>
      <c r="G245" s="95">
        <v>1</v>
      </c>
    </row>
    <row r="246" spans="1:9" hidden="1" x14ac:dyDescent="0.25">
      <c r="A246" s="94" t="s">
        <v>225</v>
      </c>
      <c r="B246" s="94" t="s">
        <v>785</v>
      </c>
      <c r="C246" s="94" t="s">
        <v>1926</v>
      </c>
      <c r="D246" s="94" t="s">
        <v>1927</v>
      </c>
      <c r="E246" s="94" t="s">
        <v>1302</v>
      </c>
      <c r="F246" s="94" t="s">
        <v>537</v>
      </c>
      <c r="G246" s="95">
        <v>1</v>
      </c>
    </row>
    <row r="247" spans="1:9" hidden="1" x14ac:dyDescent="0.25">
      <c r="A247" t="s">
        <v>60</v>
      </c>
      <c r="B247" t="s">
        <v>1314</v>
      </c>
      <c r="C247" t="s">
        <v>1294</v>
      </c>
      <c r="D247" t="s">
        <v>1660</v>
      </c>
      <c r="E247" t="s">
        <v>1320</v>
      </c>
      <c r="G247" s="1">
        <v>1</v>
      </c>
    </row>
    <row r="248" spans="1:9" hidden="1" x14ac:dyDescent="0.25">
      <c r="A248" s="94" t="s">
        <v>144</v>
      </c>
      <c r="B248" s="94" t="s">
        <v>736</v>
      </c>
      <c r="C248" s="94" t="s">
        <v>737</v>
      </c>
      <c r="D248" s="94" t="s">
        <v>1837</v>
      </c>
      <c r="E248" s="94" t="s">
        <v>1272</v>
      </c>
      <c r="F248" s="94" t="s">
        <v>961</v>
      </c>
      <c r="G248" s="95">
        <v>0</v>
      </c>
      <c r="H248" s="94"/>
      <c r="I248" s="94"/>
    </row>
    <row r="249" spans="1:9" hidden="1" x14ac:dyDescent="0.25">
      <c r="A249" s="96" t="s">
        <v>144</v>
      </c>
      <c r="B249" s="96" t="s">
        <v>1841</v>
      </c>
      <c r="C249" s="96"/>
      <c r="D249" s="96" t="s">
        <v>1838</v>
      </c>
      <c r="E249" s="96" t="s">
        <v>1840</v>
      </c>
      <c r="F249" s="96"/>
      <c r="G249" s="95">
        <v>1</v>
      </c>
      <c r="H249" s="96"/>
      <c r="I249" s="96"/>
    </row>
    <row r="250" spans="1:9" hidden="1" x14ac:dyDescent="0.25">
      <c r="A250" t="s">
        <v>60</v>
      </c>
      <c r="B250" t="s">
        <v>1310</v>
      </c>
      <c r="C250" t="s">
        <v>22</v>
      </c>
      <c r="D250" t="s">
        <v>1677</v>
      </c>
      <c r="E250" t="s">
        <v>1323</v>
      </c>
      <c r="G250" s="1">
        <v>5</v>
      </c>
    </row>
    <row r="251" spans="1:9" s="132" customFormat="1" hidden="1" x14ac:dyDescent="0.25">
      <c r="A251" s="135" t="s">
        <v>60</v>
      </c>
      <c r="B251" s="135" t="s">
        <v>1316</v>
      </c>
      <c r="C251" s="135" t="s">
        <v>176</v>
      </c>
      <c r="D251" s="135" t="s">
        <v>1679</v>
      </c>
      <c r="E251" s="135" t="s">
        <v>1320</v>
      </c>
      <c r="F251" s="135"/>
      <c r="G251" s="136">
        <v>1</v>
      </c>
      <c r="H251" s="135"/>
      <c r="I251" s="135"/>
    </row>
    <row r="252" spans="1:9" hidden="1" x14ac:dyDescent="0.25">
      <c r="A252" s="135" t="s">
        <v>60</v>
      </c>
      <c r="B252" s="135" t="s">
        <v>980</v>
      </c>
      <c r="C252" s="135" t="s">
        <v>29</v>
      </c>
      <c r="D252" s="135" t="s">
        <v>1679</v>
      </c>
      <c r="E252" s="135" t="s">
        <v>1302</v>
      </c>
      <c r="F252" s="135"/>
      <c r="G252" s="136">
        <v>1</v>
      </c>
      <c r="H252" s="135"/>
      <c r="I252" s="135"/>
    </row>
    <row r="253" spans="1:9" hidden="1" x14ac:dyDescent="0.25">
      <c r="A253" t="s">
        <v>60</v>
      </c>
      <c r="B253" t="s">
        <v>980</v>
      </c>
      <c r="C253" t="s">
        <v>54</v>
      </c>
      <c r="D253" t="s">
        <v>1685</v>
      </c>
      <c r="E253" t="s">
        <v>1302</v>
      </c>
      <c r="G253" s="1">
        <v>1</v>
      </c>
    </row>
    <row r="254" spans="1:9" hidden="1" x14ac:dyDescent="0.25">
      <c r="A254" t="s">
        <v>60</v>
      </c>
      <c r="B254" t="s">
        <v>1314</v>
      </c>
      <c r="D254" t="s">
        <v>1708</v>
      </c>
      <c r="E254" t="s">
        <v>1302</v>
      </c>
      <c r="G254" s="1">
        <v>0</v>
      </c>
    </row>
    <row r="255" spans="1:9" hidden="1" x14ac:dyDescent="0.25">
      <c r="A255" t="s">
        <v>60</v>
      </c>
      <c r="B255" t="s">
        <v>1310</v>
      </c>
      <c r="C255" t="s">
        <v>1311</v>
      </c>
      <c r="D255" t="s">
        <v>1727</v>
      </c>
      <c r="E255" t="s">
        <v>1320</v>
      </c>
      <c r="F255" t="s">
        <v>24</v>
      </c>
      <c r="G255" s="1">
        <v>1</v>
      </c>
    </row>
    <row r="256" spans="1:9" hidden="1" x14ac:dyDescent="0.25">
      <c r="A256" t="s">
        <v>60</v>
      </c>
      <c r="B256" t="s">
        <v>1301</v>
      </c>
      <c r="C256" t="s">
        <v>909</v>
      </c>
      <c r="D256" t="s">
        <v>1750</v>
      </c>
      <c r="E256" t="s">
        <v>1302</v>
      </c>
      <c r="G256" s="1">
        <v>1</v>
      </c>
    </row>
    <row r="257" spans="1:7" hidden="1" x14ac:dyDescent="0.25">
      <c r="A257" t="s">
        <v>60</v>
      </c>
      <c r="B257" t="s">
        <v>1719</v>
      </c>
      <c r="C257" t="s">
        <v>255</v>
      </c>
      <c r="D257" t="s">
        <v>1750</v>
      </c>
      <c r="E257" t="s">
        <v>1302</v>
      </c>
      <c r="G257" s="1">
        <v>1</v>
      </c>
    </row>
    <row r="258" spans="1:7" hidden="1" x14ac:dyDescent="0.25">
      <c r="A258" t="s">
        <v>60</v>
      </c>
      <c r="B258" t="s">
        <v>1753</v>
      </c>
      <c r="D258" t="s">
        <v>1751</v>
      </c>
      <c r="E258" t="s">
        <v>1309</v>
      </c>
      <c r="G258" s="1">
        <v>3</v>
      </c>
    </row>
    <row r="259" spans="1:7" hidden="1" x14ac:dyDescent="0.25">
      <c r="A259" t="s">
        <v>60</v>
      </c>
      <c r="B259" t="s">
        <v>1314</v>
      </c>
      <c r="C259" t="s">
        <v>1294</v>
      </c>
      <c r="D259" t="s">
        <v>1751</v>
      </c>
      <c r="E259" t="s">
        <v>1309</v>
      </c>
      <c r="G259" s="1">
        <v>1</v>
      </c>
    </row>
    <row r="260" spans="1:7" hidden="1" x14ac:dyDescent="0.25">
      <c r="A260" t="s">
        <v>60</v>
      </c>
      <c r="B260" t="s">
        <v>1212</v>
      </c>
      <c r="C260" t="s">
        <v>1326</v>
      </c>
      <c r="D260" t="s">
        <v>1677</v>
      </c>
      <c r="E260" t="s">
        <v>1323</v>
      </c>
      <c r="G260" s="1">
        <v>1</v>
      </c>
    </row>
    <row r="261" spans="1:7" hidden="1" x14ac:dyDescent="0.25">
      <c r="A261" t="s">
        <v>60</v>
      </c>
      <c r="B261" t="s">
        <v>1314</v>
      </c>
      <c r="C261" t="s">
        <v>1294</v>
      </c>
      <c r="D261" t="s">
        <v>1790</v>
      </c>
      <c r="E261" t="s">
        <v>1309</v>
      </c>
      <c r="G261" s="1">
        <v>1</v>
      </c>
    </row>
    <row r="262" spans="1:7" hidden="1" x14ac:dyDescent="0.25">
      <c r="A262" t="s">
        <v>60</v>
      </c>
      <c r="B262" t="s">
        <v>1351</v>
      </c>
      <c r="C262" t="s">
        <v>1315</v>
      </c>
      <c r="D262" t="s">
        <v>1801</v>
      </c>
      <c r="E262" t="s">
        <v>1302</v>
      </c>
      <c r="G262" s="1">
        <v>2</v>
      </c>
    </row>
    <row r="263" spans="1:7" hidden="1" x14ac:dyDescent="0.25">
      <c r="A263" t="s">
        <v>60</v>
      </c>
      <c r="B263" t="s">
        <v>1310</v>
      </c>
      <c r="D263" t="s">
        <v>1809</v>
      </c>
      <c r="E263" t="s">
        <v>1309</v>
      </c>
      <c r="G263" s="1">
        <v>1</v>
      </c>
    </row>
    <row r="264" spans="1:7" hidden="1" x14ac:dyDescent="0.25">
      <c r="A264" s="94" t="s">
        <v>60</v>
      </c>
      <c r="B264" s="94" t="s">
        <v>1310</v>
      </c>
      <c r="C264" s="94" t="s">
        <v>1922</v>
      </c>
      <c r="D264" s="94" t="s">
        <v>1812</v>
      </c>
      <c r="E264" s="94" t="s">
        <v>1302</v>
      </c>
      <c r="F264" s="94" t="s">
        <v>537</v>
      </c>
      <c r="G264" s="95">
        <v>1</v>
      </c>
    </row>
    <row r="265" spans="1:7" hidden="1" x14ac:dyDescent="0.25">
      <c r="A265" s="94" t="s">
        <v>60</v>
      </c>
      <c r="B265" s="94" t="s">
        <v>1301</v>
      </c>
      <c r="C265" s="94"/>
      <c r="D265" s="94" t="s">
        <v>1780</v>
      </c>
      <c r="E265" s="94" t="s">
        <v>1302</v>
      </c>
      <c r="F265" s="94" t="s">
        <v>537</v>
      </c>
      <c r="G265" s="95">
        <v>1</v>
      </c>
    </row>
    <row r="266" spans="1:7" hidden="1" x14ac:dyDescent="0.25">
      <c r="A266" s="94" t="s">
        <v>60</v>
      </c>
      <c r="B266" s="94" t="s">
        <v>1301</v>
      </c>
      <c r="C266" s="94"/>
      <c r="D266" s="94" t="s">
        <v>1780</v>
      </c>
      <c r="E266" s="94" t="s">
        <v>1302</v>
      </c>
      <c r="F266" s="94" t="s">
        <v>537</v>
      </c>
      <c r="G266" s="95">
        <v>2</v>
      </c>
    </row>
    <row r="267" spans="1:7" hidden="1" x14ac:dyDescent="0.25">
      <c r="A267" s="94" t="s">
        <v>60</v>
      </c>
      <c r="B267" s="94" t="s">
        <v>1310</v>
      </c>
      <c r="C267" s="94"/>
      <c r="D267" s="94" t="s">
        <v>1931</v>
      </c>
      <c r="E267" s="94" t="s">
        <v>1309</v>
      </c>
      <c r="F267" s="94" t="s">
        <v>537</v>
      </c>
      <c r="G267" s="95">
        <v>1</v>
      </c>
    </row>
    <row r="268" spans="1:7" hidden="1" x14ac:dyDescent="0.25">
      <c r="A268" t="s">
        <v>222</v>
      </c>
      <c r="B268" t="s">
        <v>1275</v>
      </c>
      <c r="D268" t="s">
        <v>1677</v>
      </c>
      <c r="E268" t="s">
        <v>1323</v>
      </c>
      <c r="G268" s="1">
        <v>1</v>
      </c>
    </row>
    <row r="269" spans="1:7" hidden="1" x14ac:dyDescent="0.25">
      <c r="A269" t="s">
        <v>1644</v>
      </c>
      <c r="B269" t="s">
        <v>1275</v>
      </c>
      <c r="C269" t="s">
        <v>233</v>
      </c>
      <c r="D269" t="s">
        <v>1645</v>
      </c>
      <c r="E269" t="s">
        <v>1323</v>
      </c>
      <c r="F269" t="s">
        <v>250</v>
      </c>
      <c r="G269" s="1">
        <v>1</v>
      </c>
    </row>
    <row r="270" spans="1:7" hidden="1" x14ac:dyDescent="0.25">
      <c r="A270" t="s">
        <v>1644</v>
      </c>
      <c r="B270" t="s">
        <v>217</v>
      </c>
      <c r="D270" t="s">
        <v>1749</v>
      </c>
      <c r="E270" t="s">
        <v>1323</v>
      </c>
      <c r="G270" s="1">
        <v>1</v>
      </c>
    </row>
    <row r="271" spans="1:7" hidden="1" x14ac:dyDescent="0.25">
      <c r="A271" t="s">
        <v>9</v>
      </c>
      <c r="B271" s="1">
        <v>508</v>
      </c>
      <c r="C271" t="s">
        <v>169</v>
      </c>
      <c r="D271" t="s">
        <v>1664</v>
      </c>
      <c r="E271" t="s">
        <v>1309</v>
      </c>
      <c r="G271" s="1">
        <v>1</v>
      </c>
    </row>
    <row r="272" spans="1:7" hidden="1" x14ac:dyDescent="0.25">
      <c r="A272" t="s">
        <v>9</v>
      </c>
      <c r="B272">
        <v>206</v>
      </c>
      <c r="C272" t="s">
        <v>37</v>
      </c>
      <c r="D272" t="s">
        <v>1693</v>
      </c>
      <c r="E272" t="s">
        <v>1320</v>
      </c>
      <c r="F272" t="s">
        <v>1611</v>
      </c>
      <c r="G272" s="1">
        <v>1</v>
      </c>
    </row>
    <row r="273" spans="1:9" hidden="1" x14ac:dyDescent="0.25">
      <c r="A273" t="s">
        <v>9</v>
      </c>
      <c r="B273" t="s">
        <v>1700</v>
      </c>
      <c r="C273" t="s">
        <v>40</v>
      </c>
      <c r="D273" t="s">
        <v>1698</v>
      </c>
      <c r="E273" t="s">
        <v>1323</v>
      </c>
      <c r="G273" s="1">
        <v>1</v>
      </c>
    </row>
    <row r="274" spans="1:9" hidden="1" x14ac:dyDescent="0.25">
      <c r="A274" t="s">
        <v>9</v>
      </c>
      <c r="B274">
        <v>308</v>
      </c>
      <c r="C274" t="s">
        <v>328</v>
      </c>
      <c r="D274" t="s">
        <v>1703</v>
      </c>
      <c r="E274" t="s">
        <v>1323</v>
      </c>
      <c r="G274" s="1">
        <v>1</v>
      </c>
    </row>
    <row r="275" spans="1:9" hidden="1" x14ac:dyDescent="0.25">
      <c r="A275" t="s">
        <v>9</v>
      </c>
      <c r="B275">
        <v>2008</v>
      </c>
      <c r="C275" t="s">
        <v>1002</v>
      </c>
      <c r="D275" t="s">
        <v>1710</v>
      </c>
      <c r="E275" t="s">
        <v>1302</v>
      </c>
      <c r="G275" s="1">
        <v>1</v>
      </c>
    </row>
    <row r="276" spans="1:9" hidden="1" x14ac:dyDescent="0.25">
      <c r="A276" t="s">
        <v>9</v>
      </c>
      <c r="B276" t="s">
        <v>1597</v>
      </c>
      <c r="C276" t="s">
        <v>169</v>
      </c>
      <c r="D276" t="s">
        <v>1712</v>
      </c>
      <c r="E276" t="s">
        <v>1309</v>
      </c>
      <c r="G276" s="1">
        <v>1</v>
      </c>
    </row>
    <row r="277" spans="1:9" hidden="1" x14ac:dyDescent="0.25">
      <c r="A277" t="s">
        <v>9</v>
      </c>
      <c r="B277">
        <v>306</v>
      </c>
      <c r="C277" t="s">
        <v>1259</v>
      </c>
      <c r="D277" t="s">
        <v>1733</v>
      </c>
      <c r="E277" t="s">
        <v>1309</v>
      </c>
      <c r="G277" s="1">
        <v>1</v>
      </c>
    </row>
    <row r="278" spans="1:9" hidden="1" x14ac:dyDescent="0.25">
      <c r="A278" t="s">
        <v>9</v>
      </c>
      <c r="B278">
        <v>106</v>
      </c>
      <c r="C278" t="s">
        <v>1317</v>
      </c>
      <c r="D278" t="s">
        <v>1755</v>
      </c>
      <c r="E278" t="s">
        <v>1320</v>
      </c>
      <c r="G278" s="1">
        <v>1</v>
      </c>
    </row>
    <row r="279" spans="1:9" x14ac:dyDescent="0.25">
      <c r="A279" s="132" t="s">
        <v>183</v>
      </c>
      <c r="B279" s="132" t="s">
        <v>602</v>
      </c>
      <c r="C279" s="132"/>
      <c r="D279" s="132" t="s">
        <v>1688</v>
      </c>
      <c r="E279" s="132" t="s">
        <v>2012</v>
      </c>
      <c r="F279" s="132"/>
      <c r="G279" s="133">
        <v>1</v>
      </c>
      <c r="H279" s="132"/>
      <c r="I279" s="132"/>
    </row>
    <row r="280" spans="1:9" hidden="1" x14ac:dyDescent="0.25">
      <c r="A280" t="s">
        <v>9</v>
      </c>
      <c r="B280">
        <v>3008</v>
      </c>
      <c r="C280" t="s">
        <v>504</v>
      </c>
      <c r="D280" t="s">
        <v>1763</v>
      </c>
      <c r="E280" t="s">
        <v>1302</v>
      </c>
      <c r="G280" s="1">
        <v>1</v>
      </c>
    </row>
    <row r="281" spans="1:9" hidden="1" x14ac:dyDescent="0.25">
      <c r="A281" t="s">
        <v>9</v>
      </c>
      <c r="B281">
        <v>308</v>
      </c>
      <c r="C281" t="s">
        <v>17</v>
      </c>
      <c r="D281" t="s">
        <v>1790</v>
      </c>
      <c r="E281" t="s">
        <v>1320</v>
      </c>
      <c r="G281" s="1">
        <v>1</v>
      </c>
    </row>
    <row r="282" spans="1:9" hidden="1" x14ac:dyDescent="0.25">
      <c r="A282" s="94" t="s">
        <v>9</v>
      </c>
      <c r="B282" s="94">
        <v>208</v>
      </c>
      <c r="C282" s="94" t="s">
        <v>1262</v>
      </c>
      <c r="D282" s="94" t="s">
        <v>1812</v>
      </c>
      <c r="E282" s="94" t="s">
        <v>1302</v>
      </c>
      <c r="F282" s="94" t="s">
        <v>537</v>
      </c>
      <c r="G282" s="95">
        <v>1</v>
      </c>
    </row>
    <row r="283" spans="1:9" hidden="1" x14ac:dyDescent="0.25">
      <c r="A283" t="s">
        <v>586</v>
      </c>
      <c r="B283" t="s">
        <v>1772</v>
      </c>
      <c r="C283" t="s">
        <v>262</v>
      </c>
      <c r="D283" t="s">
        <v>1771</v>
      </c>
      <c r="E283" t="s">
        <v>1323</v>
      </c>
      <c r="G283" s="1">
        <v>1</v>
      </c>
    </row>
    <row r="284" spans="1:9" hidden="1" x14ac:dyDescent="0.25">
      <c r="A284" t="s">
        <v>405</v>
      </c>
      <c r="B284" t="s">
        <v>1671</v>
      </c>
      <c r="C284" t="s">
        <v>19</v>
      </c>
      <c r="D284" t="s">
        <v>1670</v>
      </c>
      <c r="E284" t="s">
        <v>1320</v>
      </c>
      <c r="G284" s="1">
        <v>1</v>
      </c>
    </row>
    <row r="285" spans="1:9" hidden="1" x14ac:dyDescent="0.25">
      <c r="A285" t="s">
        <v>405</v>
      </c>
      <c r="B285" t="s">
        <v>1671</v>
      </c>
      <c r="C285" t="s">
        <v>16</v>
      </c>
      <c r="D285" t="s">
        <v>1675</v>
      </c>
      <c r="E285" t="s">
        <v>1302</v>
      </c>
      <c r="F285" t="s">
        <v>250</v>
      </c>
      <c r="G285" s="1">
        <v>1</v>
      </c>
    </row>
    <row r="286" spans="1:9" hidden="1" x14ac:dyDescent="0.25">
      <c r="A286" t="s">
        <v>405</v>
      </c>
      <c r="B286" t="s">
        <v>1671</v>
      </c>
      <c r="C286" t="s">
        <v>176</v>
      </c>
      <c r="D286" t="s">
        <v>1683</v>
      </c>
      <c r="E286" t="s">
        <v>1320</v>
      </c>
      <c r="G286" s="1">
        <v>1</v>
      </c>
    </row>
    <row r="287" spans="1:9" hidden="1" x14ac:dyDescent="0.25">
      <c r="A287" t="s">
        <v>405</v>
      </c>
      <c r="B287" t="s">
        <v>1692</v>
      </c>
      <c r="C287" t="s">
        <v>328</v>
      </c>
      <c r="D287" t="s">
        <v>1690</v>
      </c>
      <c r="E287" t="s">
        <v>1323</v>
      </c>
      <c r="G287" s="1">
        <v>1</v>
      </c>
    </row>
    <row r="288" spans="1:9" s="94" customFormat="1" hidden="1" x14ac:dyDescent="0.25">
      <c r="A288" t="s">
        <v>405</v>
      </c>
      <c r="B288" t="s">
        <v>857</v>
      </c>
      <c r="C288" t="s">
        <v>100</v>
      </c>
      <c r="D288" t="s">
        <v>1733</v>
      </c>
      <c r="E288" t="s">
        <v>1323</v>
      </c>
      <c r="F288" t="s">
        <v>250</v>
      </c>
      <c r="G288" s="1">
        <v>1</v>
      </c>
      <c r="H288"/>
      <c r="I288"/>
    </row>
    <row r="289" spans="1:9" s="94" customFormat="1" hidden="1" x14ac:dyDescent="0.25">
      <c r="A289" s="94" t="s">
        <v>405</v>
      </c>
      <c r="B289" s="94">
        <v>21</v>
      </c>
      <c r="D289" s="94" t="s">
        <v>1809</v>
      </c>
      <c r="E289" s="94" t="s">
        <v>1302</v>
      </c>
      <c r="F289" s="94" t="s">
        <v>537</v>
      </c>
      <c r="G289" s="95">
        <v>1</v>
      </c>
    </row>
    <row r="290" spans="1:9" s="94" customFormat="1" hidden="1" x14ac:dyDescent="0.25">
      <c r="A290" s="94" t="s">
        <v>405</v>
      </c>
      <c r="B290" s="94" t="s">
        <v>1920</v>
      </c>
      <c r="C290" s="94" t="s">
        <v>1921</v>
      </c>
      <c r="D290" s="94" t="s">
        <v>1812</v>
      </c>
      <c r="E290" s="94" t="s">
        <v>1302</v>
      </c>
      <c r="F290" s="94" t="s">
        <v>537</v>
      </c>
      <c r="G290" s="95">
        <v>1</v>
      </c>
      <c r="H290"/>
      <c r="I290"/>
    </row>
    <row r="291" spans="1:9" s="94" customFormat="1" hidden="1" x14ac:dyDescent="0.25">
      <c r="A291" s="94" t="s">
        <v>405</v>
      </c>
      <c r="C291" s="94" t="s">
        <v>1929</v>
      </c>
      <c r="D291" s="94" t="s">
        <v>1784</v>
      </c>
      <c r="E291" s="94" t="s">
        <v>1309</v>
      </c>
      <c r="F291" s="94" t="s">
        <v>537</v>
      </c>
      <c r="G291" s="95">
        <v>1</v>
      </c>
      <c r="H291"/>
      <c r="I291"/>
    </row>
    <row r="292" spans="1:9" s="94" customFormat="1" hidden="1" x14ac:dyDescent="0.25">
      <c r="A292" s="94" t="s">
        <v>405</v>
      </c>
      <c r="B292" s="94" t="s">
        <v>1920</v>
      </c>
      <c r="D292" s="94" t="s">
        <v>1784</v>
      </c>
      <c r="E292" s="94" t="s">
        <v>1309</v>
      </c>
      <c r="F292" s="94" t="s">
        <v>537</v>
      </c>
      <c r="G292" s="95">
        <v>1</v>
      </c>
      <c r="H292"/>
      <c r="I292"/>
    </row>
    <row r="293" spans="1:9" s="94" customFormat="1" hidden="1" x14ac:dyDescent="0.25">
      <c r="A293" t="s">
        <v>1794</v>
      </c>
      <c r="B293" t="s">
        <v>1795</v>
      </c>
      <c r="C293" t="s">
        <v>166</v>
      </c>
      <c r="D293" t="s">
        <v>1790</v>
      </c>
      <c r="E293" t="s">
        <v>1309</v>
      </c>
      <c r="F293"/>
      <c r="G293" s="1">
        <v>1</v>
      </c>
      <c r="H293"/>
      <c r="I293"/>
    </row>
    <row r="294" spans="1:9" s="94" customFormat="1" hidden="1" x14ac:dyDescent="0.25">
      <c r="A294" t="s">
        <v>492</v>
      </c>
      <c r="B294" t="s">
        <v>1086</v>
      </c>
      <c r="C294" t="s">
        <v>1087</v>
      </c>
      <c r="D294" t="s">
        <v>1677</v>
      </c>
      <c r="E294" t="s">
        <v>1302</v>
      </c>
      <c r="F294"/>
      <c r="G294" s="1">
        <v>1</v>
      </c>
      <c r="H294"/>
      <c r="I294"/>
    </row>
    <row r="295" spans="1:9" s="94" customFormat="1" hidden="1" x14ac:dyDescent="0.25">
      <c r="A295" t="s">
        <v>174</v>
      </c>
      <c r="B295" t="s">
        <v>1322</v>
      </c>
      <c r="C295" t="s">
        <v>176</v>
      </c>
      <c r="D295" t="s">
        <v>1685</v>
      </c>
      <c r="E295" t="s">
        <v>1309</v>
      </c>
      <c r="F295" t="s">
        <v>1607</v>
      </c>
      <c r="G295" s="1">
        <v>1</v>
      </c>
      <c r="H295"/>
      <c r="I295"/>
    </row>
    <row r="296" spans="1:9" s="94" customFormat="1" hidden="1" x14ac:dyDescent="0.25">
      <c r="A296" t="s">
        <v>174</v>
      </c>
      <c r="B296" t="s">
        <v>1453</v>
      </c>
      <c r="C296" t="s">
        <v>1260</v>
      </c>
      <c r="D296" t="s">
        <v>1771</v>
      </c>
      <c r="E296" t="s">
        <v>1323</v>
      </c>
      <c r="F296"/>
      <c r="G296" s="1">
        <v>1</v>
      </c>
      <c r="H296"/>
      <c r="I296"/>
    </row>
    <row r="297" spans="1:9" s="94" customFormat="1" hidden="1" x14ac:dyDescent="0.25">
      <c r="A297" t="s">
        <v>174</v>
      </c>
      <c r="B297" t="s">
        <v>1013</v>
      </c>
      <c r="C297" t="s">
        <v>310</v>
      </c>
      <c r="D297" t="s">
        <v>1771</v>
      </c>
      <c r="E297" t="s">
        <v>1323</v>
      </c>
      <c r="F297"/>
      <c r="G297" s="1">
        <v>1</v>
      </c>
      <c r="H297"/>
      <c r="I297"/>
    </row>
    <row r="298" spans="1:9" s="94" customFormat="1" hidden="1" x14ac:dyDescent="0.25">
      <c r="A298" t="s">
        <v>174</v>
      </c>
      <c r="B298" t="s">
        <v>1773</v>
      </c>
      <c r="C298" t="s">
        <v>519</v>
      </c>
      <c r="D298" t="s">
        <v>1771</v>
      </c>
      <c r="E298" t="s">
        <v>1323</v>
      </c>
      <c r="F298"/>
      <c r="G298" s="1">
        <v>1</v>
      </c>
      <c r="H298"/>
      <c r="I298"/>
    </row>
    <row r="299" spans="1:9" s="94" customFormat="1" hidden="1" x14ac:dyDescent="0.25">
      <c r="A299" t="s">
        <v>626</v>
      </c>
      <c r="B299" t="s">
        <v>1640</v>
      </c>
      <c r="C299" t="s">
        <v>146</v>
      </c>
      <c r="D299" t="s">
        <v>1641</v>
      </c>
      <c r="E299" t="s">
        <v>1264</v>
      </c>
      <c r="F299" t="s">
        <v>570</v>
      </c>
      <c r="G299" s="1">
        <v>1</v>
      </c>
      <c r="H299"/>
      <c r="I299"/>
    </row>
    <row r="300" spans="1:9" s="94" customFormat="1" hidden="1" x14ac:dyDescent="0.25">
      <c r="A300" s="135" t="s">
        <v>626</v>
      </c>
      <c r="B300" s="135" t="s">
        <v>1640</v>
      </c>
      <c r="C300" s="135" t="s">
        <v>113</v>
      </c>
      <c r="D300" s="135" t="s">
        <v>1679</v>
      </c>
      <c r="E300" s="135" t="s">
        <v>1320</v>
      </c>
      <c r="F300" s="135"/>
      <c r="G300" s="136">
        <v>1</v>
      </c>
      <c r="H300" s="135"/>
      <c r="I300" s="135"/>
    </row>
    <row r="301" spans="1:9" s="94" customFormat="1" hidden="1" x14ac:dyDescent="0.25">
      <c r="A301" s="94" t="s">
        <v>62</v>
      </c>
      <c r="B301" s="94" t="s">
        <v>1832</v>
      </c>
      <c r="C301" s="94" t="s">
        <v>375</v>
      </c>
      <c r="D301" s="94" t="s">
        <v>1837</v>
      </c>
      <c r="E301" s="94" t="s">
        <v>1272</v>
      </c>
      <c r="G301" s="95">
        <v>1</v>
      </c>
    </row>
    <row r="302" spans="1:9" s="94" customFormat="1" hidden="1" x14ac:dyDescent="0.25">
      <c r="A302" t="s">
        <v>626</v>
      </c>
      <c r="B302" t="s">
        <v>741</v>
      </c>
      <c r="C302" t="s">
        <v>890</v>
      </c>
      <c r="D302" t="s">
        <v>1705</v>
      </c>
      <c r="E302" t="s">
        <v>1323</v>
      </c>
      <c r="F302"/>
      <c r="G302" s="1">
        <v>1</v>
      </c>
      <c r="H302"/>
      <c r="I302"/>
    </row>
    <row r="303" spans="1:9" s="94" customFormat="1" hidden="1" x14ac:dyDescent="0.25">
      <c r="A303" t="s">
        <v>626</v>
      </c>
      <c r="B303" t="s">
        <v>800</v>
      </c>
      <c r="C303"/>
      <c r="D303" t="s">
        <v>1810</v>
      </c>
      <c r="E303" t="s">
        <v>1271</v>
      </c>
      <c r="F303"/>
      <c r="G303" s="1">
        <v>1</v>
      </c>
      <c r="H303"/>
      <c r="I303"/>
    </row>
    <row r="304" spans="1:9" s="94" customFormat="1" hidden="1" x14ac:dyDescent="0.25">
      <c r="A304" s="94" t="s">
        <v>626</v>
      </c>
      <c r="B304" s="94" t="s">
        <v>741</v>
      </c>
      <c r="C304" s="94" t="s">
        <v>1917</v>
      </c>
      <c r="D304" s="94" t="s">
        <v>1812</v>
      </c>
      <c r="E304" s="94" t="s">
        <v>1309</v>
      </c>
      <c r="F304" s="94" t="s">
        <v>537</v>
      </c>
      <c r="G304" s="95">
        <v>1</v>
      </c>
      <c r="H304"/>
      <c r="I304"/>
    </row>
    <row r="305" spans="1:9" s="94" customFormat="1" hidden="1" x14ac:dyDescent="0.25">
      <c r="A305" t="s">
        <v>806</v>
      </c>
      <c r="B305" t="s">
        <v>1296</v>
      </c>
      <c r="C305" t="s">
        <v>16</v>
      </c>
      <c r="D305" t="s">
        <v>1703</v>
      </c>
      <c r="E305" t="s">
        <v>1320</v>
      </c>
      <c r="F305"/>
      <c r="G305" s="1">
        <v>1</v>
      </c>
      <c r="H305"/>
      <c r="I305"/>
    </row>
    <row r="306" spans="1:9" s="94" customFormat="1" hidden="1" x14ac:dyDescent="0.25">
      <c r="A306" t="s">
        <v>179</v>
      </c>
      <c r="B306" t="s">
        <v>180</v>
      </c>
      <c r="C306" t="s">
        <v>1297</v>
      </c>
      <c r="D306" t="s">
        <v>1645</v>
      </c>
      <c r="E306" t="s">
        <v>1320</v>
      </c>
      <c r="F306" t="s">
        <v>1649</v>
      </c>
      <c r="G306" s="1">
        <v>1</v>
      </c>
      <c r="H306"/>
      <c r="I306"/>
    </row>
    <row r="307" spans="1:9" s="94" customFormat="1" hidden="1" x14ac:dyDescent="0.25">
      <c r="A307" t="s">
        <v>179</v>
      </c>
      <c r="B307" t="s">
        <v>1655</v>
      </c>
      <c r="C307" t="s">
        <v>19</v>
      </c>
      <c r="D307" t="s">
        <v>1656</v>
      </c>
      <c r="E307" t="s">
        <v>1320</v>
      </c>
      <c r="F307" t="s">
        <v>1657</v>
      </c>
      <c r="G307" s="1">
        <v>1</v>
      </c>
      <c r="H307"/>
      <c r="I307"/>
    </row>
    <row r="308" spans="1:9" s="96" customFormat="1" hidden="1" x14ac:dyDescent="0.25">
      <c r="A308" t="s">
        <v>179</v>
      </c>
      <c r="B308" t="s">
        <v>1691</v>
      </c>
      <c r="C308" t="s">
        <v>1297</v>
      </c>
      <c r="D308" t="s">
        <v>1690</v>
      </c>
      <c r="E308" t="s">
        <v>1309</v>
      </c>
      <c r="F308"/>
      <c r="G308" s="1">
        <v>1</v>
      </c>
      <c r="H308"/>
      <c r="I308"/>
    </row>
    <row r="309" spans="1:9" s="96" customFormat="1" hidden="1" x14ac:dyDescent="0.25">
      <c r="A309" t="s">
        <v>179</v>
      </c>
      <c r="B309" t="s">
        <v>1218</v>
      </c>
      <c r="C309" t="s">
        <v>1697</v>
      </c>
      <c r="D309" t="s">
        <v>1693</v>
      </c>
      <c r="E309" t="s">
        <v>1320</v>
      </c>
      <c r="F309" t="s">
        <v>1611</v>
      </c>
      <c r="G309" s="1">
        <v>1</v>
      </c>
      <c r="H309"/>
      <c r="I309"/>
    </row>
    <row r="310" spans="1:9" s="96" customFormat="1" hidden="1" x14ac:dyDescent="0.25">
      <c r="A310" t="s">
        <v>179</v>
      </c>
      <c r="B310" t="s">
        <v>1218</v>
      </c>
      <c r="C310" t="s">
        <v>206</v>
      </c>
      <c r="D310" t="s">
        <v>1703</v>
      </c>
      <c r="E310" t="s">
        <v>1323</v>
      </c>
      <c r="F310" t="s">
        <v>1611</v>
      </c>
      <c r="G310" s="1">
        <v>1</v>
      </c>
      <c r="H310"/>
      <c r="I310"/>
    </row>
    <row r="311" spans="1:9" s="96" customFormat="1" hidden="1" x14ac:dyDescent="0.25">
      <c r="A311" t="s">
        <v>179</v>
      </c>
      <c r="B311" t="s">
        <v>1137</v>
      </c>
      <c r="C311">
        <v>1989</v>
      </c>
      <c r="D311" t="s">
        <v>1705</v>
      </c>
      <c r="E311" t="s">
        <v>1323</v>
      </c>
      <c r="F311"/>
      <c r="G311" s="1">
        <v>1</v>
      </c>
      <c r="H311"/>
      <c r="I311"/>
    </row>
    <row r="312" spans="1:9" s="96" customFormat="1" hidden="1" x14ac:dyDescent="0.25">
      <c r="A312" t="s">
        <v>179</v>
      </c>
      <c r="B312" t="s">
        <v>1140</v>
      </c>
      <c r="C312" t="s">
        <v>1000</v>
      </c>
      <c r="D312" t="s">
        <v>1708</v>
      </c>
      <c r="E312" t="s">
        <v>1309</v>
      </c>
      <c r="F312"/>
      <c r="G312" s="1">
        <v>1</v>
      </c>
      <c r="H312"/>
      <c r="I312"/>
    </row>
    <row r="313" spans="1:9" s="96" customFormat="1" hidden="1" x14ac:dyDescent="0.25">
      <c r="A313" t="s">
        <v>179</v>
      </c>
      <c r="B313" t="s">
        <v>1270</v>
      </c>
      <c r="C313" t="s">
        <v>949</v>
      </c>
      <c r="D313" t="s">
        <v>1713</v>
      </c>
      <c r="E313" t="s">
        <v>1302</v>
      </c>
      <c r="F313"/>
      <c r="G313" s="1">
        <v>1</v>
      </c>
      <c r="H313"/>
      <c r="I313"/>
    </row>
    <row r="314" spans="1:9" s="96" customFormat="1" hidden="1" x14ac:dyDescent="0.25">
      <c r="A314" t="s">
        <v>179</v>
      </c>
      <c r="B314" t="s">
        <v>690</v>
      </c>
      <c r="C314"/>
      <c r="D314" t="s">
        <v>1727</v>
      </c>
      <c r="E314" t="s">
        <v>1320</v>
      </c>
      <c r="F314"/>
      <c r="G314" s="1">
        <v>2</v>
      </c>
      <c r="H314"/>
      <c r="I314"/>
    </row>
    <row r="315" spans="1:9" s="96" customFormat="1" hidden="1" x14ac:dyDescent="0.25">
      <c r="A315" t="s">
        <v>179</v>
      </c>
      <c r="B315" t="s">
        <v>1137</v>
      </c>
      <c r="C315"/>
      <c r="D315" t="s">
        <v>1749</v>
      </c>
      <c r="E315" t="s">
        <v>1323</v>
      </c>
      <c r="F315"/>
      <c r="G315" s="1">
        <v>1</v>
      </c>
      <c r="H315"/>
      <c r="I315"/>
    </row>
    <row r="316" spans="1:9" s="96" customFormat="1" hidden="1" x14ac:dyDescent="0.25">
      <c r="A316" t="s">
        <v>179</v>
      </c>
      <c r="B316" t="s">
        <v>1754</v>
      </c>
      <c r="C316" t="s">
        <v>29</v>
      </c>
      <c r="D316" t="s">
        <v>1751</v>
      </c>
      <c r="E316" t="s">
        <v>1302</v>
      </c>
      <c r="F316"/>
      <c r="G316" s="1">
        <v>1</v>
      </c>
      <c r="H316"/>
      <c r="I316"/>
    </row>
    <row r="317" spans="1:9" s="96" customFormat="1" hidden="1" x14ac:dyDescent="0.25">
      <c r="A317" t="s">
        <v>179</v>
      </c>
      <c r="B317" t="s">
        <v>1764</v>
      </c>
      <c r="C317" t="s">
        <v>103</v>
      </c>
      <c r="D317" t="s">
        <v>1763</v>
      </c>
      <c r="E317" t="s">
        <v>1323</v>
      </c>
      <c r="F317"/>
      <c r="G317" s="1">
        <v>1</v>
      </c>
      <c r="H317"/>
      <c r="I317"/>
    </row>
    <row r="318" spans="1:9" s="96" customFormat="1" hidden="1" x14ac:dyDescent="0.25">
      <c r="A318" t="s">
        <v>179</v>
      </c>
      <c r="B318" t="s">
        <v>1325</v>
      </c>
      <c r="C318" t="s">
        <v>103</v>
      </c>
      <c r="D318" t="s">
        <v>1679</v>
      </c>
      <c r="E318" t="s">
        <v>1320</v>
      </c>
      <c r="F318"/>
      <c r="G318" s="1">
        <v>1</v>
      </c>
      <c r="H318"/>
      <c r="I318"/>
    </row>
    <row r="319" spans="1:9" s="96" customFormat="1" hidden="1" x14ac:dyDescent="0.25">
      <c r="A319" t="s">
        <v>258</v>
      </c>
      <c r="B319" t="s">
        <v>1716</v>
      </c>
      <c r="C319" t="s">
        <v>456</v>
      </c>
      <c r="D319" t="s">
        <v>1715</v>
      </c>
      <c r="E319" t="s">
        <v>1324</v>
      </c>
      <c r="F319"/>
      <c r="G319" s="1">
        <v>1</v>
      </c>
      <c r="H319"/>
      <c r="I319"/>
    </row>
    <row r="320" spans="1:9" s="96" customFormat="1" hidden="1" x14ac:dyDescent="0.25">
      <c r="A320" t="s">
        <v>179</v>
      </c>
      <c r="B320" t="s">
        <v>1218</v>
      </c>
      <c r="C320" t="s">
        <v>1268</v>
      </c>
      <c r="D320" t="s">
        <v>1771</v>
      </c>
      <c r="E320" t="s">
        <v>1323</v>
      </c>
      <c r="F320"/>
      <c r="G320" s="1">
        <v>1</v>
      </c>
      <c r="H320"/>
      <c r="I320"/>
    </row>
    <row r="321" spans="1:9" s="96" customFormat="1" hidden="1" x14ac:dyDescent="0.25">
      <c r="A321" t="s">
        <v>179</v>
      </c>
      <c r="B321" t="s">
        <v>348</v>
      </c>
      <c r="C321" t="s">
        <v>664</v>
      </c>
      <c r="D321" t="s">
        <v>1780</v>
      </c>
      <c r="E321" t="s">
        <v>1323</v>
      </c>
      <c r="F321"/>
      <c r="G321" s="1">
        <v>2</v>
      </c>
      <c r="H321"/>
      <c r="I321"/>
    </row>
    <row r="322" spans="1:9" s="96" customFormat="1" hidden="1" x14ac:dyDescent="0.25">
      <c r="A322" t="s">
        <v>179</v>
      </c>
      <c r="B322" t="s">
        <v>348</v>
      </c>
      <c r="C322" t="s">
        <v>350</v>
      </c>
      <c r="D322" t="s">
        <v>1780</v>
      </c>
      <c r="E322" t="s">
        <v>1323</v>
      </c>
      <c r="F322"/>
      <c r="G322" s="1">
        <v>1</v>
      </c>
      <c r="H322"/>
      <c r="I322"/>
    </row>
    <row r="323" spans="1:9" s="96" customFormat="1" hidden="1" x14ac:dyDescent="0.25">
      <c r="A323" t="s">
        <v>179</v>
      </c>
      <c r="B323" t="s">
        <v>1263</v>
      </c>
      <c r="C323" t="s">
        <v>1260</v>
      </c>
      <c r="D323" t="s">
        <v>1784</v>
      </c>
      <c r="E323" t="s">
        <v>1320</v>
      </c>
      <c r="F323"/>
      <c r="G323" s="1">
        <v>1</v>
      </c>
      <c r="H323"/>
      <c r="I323"/>
    </row>
    <row r="324" spans="1:9" s="96" customFormat="1" hidden="1" x14ac:dyDescent="0.25">
      <c r="A324" t="s">
        <v>179</v>
      </c>
      <c r="B324" t="s">
        <v>1218</v>
      </c>
      <c r="C324" t="s">
        <v>1282</v>
      </c>
      <c r="D324" t="s">
        <v>1805</v>
      </c>
      <c r="E324" t="s">
        <v>1271</v>
      </c>
      <c r="F324" t="s">
        <v>1803</v>
      </c>
      <c r="G324" s="1">
        <v>1</v>
      </c>
      <c r="H324"/>
      <c r="I324"/>
    </row>
    <row r="325" spans="1:9" s="96" customFormat="1" hidden="1" x14ac:dyDescent="0.25">
      <c r="A325" t="s">
        <v>179</v>
      </c>
      <c r="B325" t="s">
        <v>252</v>
      </c>
      <c r="C325"/>
      <c r="D325" t="s">
        <v>1809</v>
      </c>
      <c r="E325" t="s">
        <v>1309</v>
      </c>
      <c r="F325"/>
      <c r="G325" s="1">
        <v>1</v>
      </c>
      <c r="H325"/>
      <c r="I325"/>
    </row>
    <row r="326" spans="1:9" s="94" customFormat="1" hidden="1" x14ac:dyDescent="0.25">
      <c r="A326" s="94" t="s">
        <v>258</v>
      </c>
      <c r="B326" s="94" t="s">
        <v>297</v>
      </c>
      <c r="C326" s="94" t="s">
        <v>1825</v>
      </c>
      <c r="D326" s="94" t="s">
        <v>1837</v>
      </c>
      <c r="E326" s="94" t="s">
        <v>1827</v>
      </c>
      <c r="F326" s="94" t="s">
        <v>961</v>
      </c>
      <c r="G326" s="95">
        <v>1</v>
      </c>
    </row>
    <row r="327" spans="1:9" s="94" customFormat="1" hidden="1" x14ac:dyDescent="0.25">
      <c r="A327" t="s">
        <v>179</v>
      </c>
      <c r="B327" t="s">
        <v>252</v>
      </c>
      <c r="C327"/>
      <c r="D327" t="s">
        <v>1810</v>
      </c>
      <c r="E327" t="s">
        <v>1264</v>
      </c>
      <c r="F327" t="s">
        <v>570</v>
      </c>
      <c r="G327" s="1">
        <v>1</v>
      </c>
      <c r="H327"/>
      <c r="I327"/>
    </row>
    <row r="328" spans="1:9" hidden="1" x14ac:dyDescent="0.25">
      <c r="A328" t="s">
        <v>179</v>
      </c>
      <c r="B328" t="s">
        <v>1811</v>
      </c>
      <c r="D328" t="s">
        <v>1810</v>
      </c>
      <c r="E328" t="s">
        <v>1264</v>
      </c>
      <c r="G328" s="1">
        <v>1</v>
      </c>
    </row>
    <row r="329" spans="1:9" hidden="1" x14ac:dyDescent="0.25">
      <c r="A329" s="94" t="s">
        <v>179</v>
      </c>
      <c r="B329" s="94" t="s">
        <v>1915</v>
      </c>
      <c r="C329" s="94" t="s">
        <v>251</v>
      </c>
      <c r="D329" s="94" t="s">
        <v>1806</v>
      </c>
      <c r="E329" s="94" t="s">
        <v>1302</v>
      </c>
      <c r="F329" s="94" t="s">
        <v>537</v>
      </c>
      <c r="G329" s="95">
        <v>1</v>
      </c>
    </row>
    <row r="330" spans="1:9" hidden="1" x14ac:dyDescent="0.25">
      <c r="A330" s="94" t="s">
        <v>179</v>
      </c>
      <c r="B330" s="94" t="s">
        <v>1932</v>
      </c>
      <c r="C330" s="94" t="s">
        <v>108</v>
      </c>
      <c r="D330" s="94" t="s">
        <v>1933</v>
      </c>
      <c r="E330" s="94" t="s">
        <v>1309</v>
      </c>
      <c r="F330" s="94" t="s">
        <v>537</v>
      </c>
      <c r="G330" s="95">
        <v>1</v>
      </c>
    </row>
    <row r="331" spans="1:9" hidden="1" x14ac:dyDescent="0.25">
      <c r="A331" t="s">
        <v>238</v>
      </c>
      <c r="B331" t="s">
        <v>1001</v>
      </c>
      <c r="C331" t="s">
        <v>338</v>
      </c>
      <c r="D331" t="s">
        <v>1641</v>
      </c>
      <c r="E331" t="s">
        <v>1302</v>
      </c>
      <c r="F331" t="s">
        <v>1642</v>
      </c>
      <c r="G331" s="1">
        <v>1</v>
      </c>
    </row>
    <row r="332" spans="1:9" hidden="1" x14ac:dyDescent="0.25">
      <c r="A332" t="s">
        <v>238</v>
      </c>
      <c r="B332" t="s">
        <v>1247</v>
      </c>
      <c r="C332" t="s">
        <v>19</v>
      </c>
      <c r="D332" t="s">
        <v>1650</v>
      </c>
      <c r="E332" t="s">
        <v>1320</v>
      </c>
      <c r="F332" t="s">
        <v>1651</v>
      </c>
      <c r="G332" s="1">
        <v>1</v>
      </c>
    </row>
    <row r="333" spans="1:9" hidden="1" x14ac:dyDescent="0.25">
      <c r="A333" t="s">
        <v>238</v>
      </c>
      <c r="B333" t="s">
        <v>1001</v>
      </c>
      <c r="C333" t="s">
        <v>19</v>
      </c>
      <c r="D333" t="s">
        <v>1663</v>
      </c>
      <c r="E333" t="s">
        <v>1323</v>
      </c>
      <c r="G333" s="1">
        <v>1</v>
      </c>
    </row>
    <row r="334" spans="1:9" hidden="1" x14ac:dyDescent="0.25">
      <c r="A334" t="s">
        <v>238</v>
      </c>
      <c r="B334" t="s">
        <v>426</v>
      </c>
      <c r="C334" t="s">
        <v>28</v>
      </c>
      <c r="D334" t="s">
        <v>1679</v>
      </c>
      <c r="E334" t="s">
        <v>1309</v>
      </c>
      <c r="G334" s="1">
        <v>1</v>
      </c>
    </row>
    <row r="335" spans="1:9" hidden="1" x14ac:dyDescent="0.25">
      <c r="A335" t="s">
        <v>238</v>
      </c>
      <c r="B335" t="s">
        <v>718</v>
      </c>
      <c r="C335" t="s">
        <v>1684</v>
      </c>
      <c r="D335" t="s">
        <v>1685</v>
      </c>
      <c r="E335" t="s">
        <v>1323</v>
      </c>
      <c r="G335" s="1">
        <v>2</v>
      </c>
    </row>
    <row r="336" spans="1:9" hidden="1" x14ac:dyDescent="0.25">
      <c r="A336" t="s">
        <v>238</v>
      </c>
      <c r="B336" t="s">
        <v>1151</v>
      </c>
      <c r="C336" t="s">
        <v>1152</v>
      </c>
      <c r="D336" t="s">
        <v>1703</v>
      </c>
      <c r="E336" t="s">
        <v>1302</v>
      </c>
      <c r="G336" s="1">
        <v>1</v>
      </c>
    </row>
    <row r="337" spans="1:9" hidden="1" x14ac:dyDescent="0.25">
      <c r="A337" t="s">
        <v>238</v>
      </c>
      <c r="B337" t="s">
        <v>1247</v>
      </c>
      <c r="C337" t="s">
        <v>345</v>
      </c>
      <c r="D337" t="s">
        <v>1710</v>
      </c>
      <c r="E337" t="s">
        <v>1309</v>
      </c>
      <c r="G337" s="1">
        <v>1</v>
      </c>
    </row>
    <row r="338" spans="1:9" hidden="1" x14ac:dyDescent="0.25">
      <c r="A338" t="s">
        <v>238</v>
      </c>
      <c r="B338" t="s">
        <v>1247</v>
      </c>
      <c r="C338" t="s">
        <v>40</v>
      </c>
      <c r="D338" t="s">
        <v>1713</v>
      </c>
      <c r="E338" t="s">
        <v>444</v>
      </c>
      <c r="G338" s="1">
        <v>1</v>
      </c>
    </row>
    <row r="339" spans="1:9" hidden="1" x14ac:dyDescent="0.25">
      <c r="A339" t="s">
        <v>238</v>
      </c>
      <c r="B339" t="s">
        <v>426</v>
      </c>
      <c r="C339" t="s">
        <v>280</v>
      </c>
      <c r="D339" t="s">
        <v>1726</v>
      </c>
      <c r="E339" t="s">
        <v>1320</v>
      </c>
      <c r="F339" t="s">
        <v>24</v>
      </c>
      <c r="G339" s="1">
        <v>1</v>
      </c>
    </row>
    <row r="340" spans="1:9" hidden="1" x14ac:dyDescent="0.25">
      <c r="A340" t="s">
        <v>238</v>
      </c>
      <c r="B340" t="s">
        <v>718</v>
      </c>
      <c r="C340" t="s">
        <v>575</v>
      </c>
      <c r="D340" t="s">
        <v>1736</v>
      </c>
      <c r="E340" t="s">
        <v>1320</v>
      </c>
      <c r="G340" s="1">
        <v>3</v>
      </c>
    </row>
    <row r="341" spans="1:9" hidden="1" x14ac:dyDescent="0.25">
      <c r="A341" t="s">
        <v>238</v>
      </c>
      <c r="B341" t="s">
        <v>718</v>
      </c>
      <c r="C341" t="s">
        <v>575</v>
      </c>
      <c r="D341" t="s">
        <v>1739</v>
      </c>
      <c r="E341" t="s">
        <v>1320</v>
      </c>
      <c r="G341" s="1">
        <v>7</v>
      </c>
    </row>
    <row r="342" spans="1:9" hidden="1" x14ac:dyDescent="0.25">
      <c r="A342" t="s">
        <v>238</v>
      </c>
      <c r="B342" t="s">
        <v>718</v>
      </c>
      <c r="C342" t="s">
        <v>575</v>
      </c>
      <c r="D342" t="s">
        <v>1740</v>
      </c>
      <c r="E342" t="s">
        <v>1323</v>
      </c>
      <c r="G342" s="1">
        <v>12</v>
      </c>
    </row>
    <row r="343" spans="1:9" hidden="1" x14ac:dyDescent="0.25">
      <c r="A343" t="s">
        <v>238</v>
      </c>
      <c r="B343" t="s">
        <v>718</v>
      </c>
      <c r="C343">
        <v>2003</v>
      </c>
      <c r="D343" t="s">
        <v>1747</v>
      </c>
      <c r="E343" t="s">
        <v>1320</v>
      </c>
      <c r="G343" s="1">
        <v>6</v>
      </c>
    </row>
    <row r="344" spans="1:9" hidden="1" x14ac:dyDescent="0.25">
      <c r="A344" t="s">
        <v>238</v>
      </c>
      <c r="B344" t="s">
        <v>718</v>
      </c>
      <c r="C344" t="s">
        <v>575</v>
      </c>
      <c r="D344" t="s">
        <v>1748</v>
      </c>
      <c r="E344" t="s">
        <v>1323</v>
      </c>
      <c r="G344" s="1">
        <v>9</v>
      </c>
    </row>
    <row r="345" spans="1:9" hidden="1" x14ac:dyDescent="0.25">
      <c r="A345" t="s">
        <v>238</v>
      </c>
      <c r="B345" t="s">
        <v>718</v>
      </c>
      <c r="C345" t="s">
        <v>1278</v>
      </c>
      <c r="D345" t="s">
        <v>1749</v>
      </c>
      <c r="E345" t="s">
        <v>1323</v>
      </c>
      <c r="G345" s="1">
        <v>1</v>
      </c>
    </row>
    <row r="346" spans="1:9" hidden="1" x14ac:dyDescent="0.25">
      <c r="A346" t="s">
        <v>238</v>
      </c>
      <c r="B346" t="s">
        <v>718</v>
      </c>
      <c r="C346" t="s">
        <v>468</v>
      </c>
      <c r="D346" t="s">
        <v>1749</v>
      </c>
      <c r="E346" t="s">
        <v>1323</v>
      </c>
      <c r="G346" s="1">
        <v>1</v>
      </c>
    </row>
    <row r="347" spans="1:9" hidden="1" x14ac:dyDescent="0.25">
      <c r="A347" t="s">
        <v>238</v>
      </c>
      <c r="B347" t="s">
        <v>718</v>
      </c>
      <c r="C347" t="s">
        <v>572</v>
      </c>
      <c r="D347" t="s">
        <v>1749</v>
      </c>
      <c r="E347" t="s">
        <v>1302</v>
      </c>
      <c r="G347" s="1">
        <v>1</v>
      </c>
    </row>
    <row r="348" spans="1:9" hidden="1" x14ac:dyDescent="0.25">
      <c r="A348" t="s">
        <v>238</v>
      </c>
      <c r="B348" t="s">
        <v>426</v>
      </c>
      <c r="C348" t="s">
        <v>1274</v>
      </c>
      <c r="D348" t="s">
        <v>1677</v>
      </c>
      <c r="E348" t="s">
        <v>1323</v>
      </c>
      <c r="G348" s="1">
        <v>1</v>
      </c>
    </row>
    <row r="349" spans="1:9" hidden="1" x14ac:dyDescent="0.25">
      <c r="A349" s="153" t="s">
        <v>238</v>
      </c>
      <c r="B349" s="153" t="s">
        <v>426</v>
      </c>
      <c r="C349" s="153" t="s">
        <v>1274</v>
      </c>
      <c r="D349" s="153" t="s">
        <v>1679</v>
      </c>
      <c r="E349" s="153" t="s">
        <v>1320</v>
      </c>
      <c r="F349" s="153"/>
      <c r="G349" s="154">
        <v>1</v>
      </c>
      <c r="H349" s="153"/>
      <c r="I349" s="153"/>
    </row>
    <row r="350" spans="1:9" hidden="1" x14ac:dyDescent="0.25">
      <c r="A350" t="s">
        <v>238</v>
      </c>
      <c r="B350" t="s">
        <v>1001</v>
      </c>
      <c r="C350">
        <v>2006</v>
      </c>
      <c r="D350" t="s">
        <v>1780</v>
      </c>
      <c r="E350" t="s">
        <v>1323</v>
      </c>
      <c r="G350" s="1">
        <v>1</v>
      </c>
    </row>
    <row r="351" spans="1:9" hidden="1" x14ac:dyDescent="0.25">
      <c r="A351" t="s">
        <v>238</v>
      </c>
      <c r="B351" t="s">
        <v>1306</v>
      </c>
      <c r="C351" t="s">
        <v>504</v>
      </c>
      <c r="D351" t="s">
        <v>1784</v>
      </c>
      <c r="E351" t="s">
        <v>1309</v>
      </c>
      <c r="G351" s="1">
        <v>1</v>
      </c>
    </row>
    <row r="352" spans="1:9" hidden="1" x14ac:dyDescent="0.25">
      <c r="A352" t="s">
        <v>238</v>
      </c>
      <c r="B352" t="s">
        <v>1001</v>
      </c>
      <c r="C352" t="s">
        <v>1004</v>
      </c>
      <c r="D352" t="s">
        <v>1784</v>
      </c>
      <c r="E352" t="s">
        <v>1302</v>
      </c>
      <c r="G352" s="1">
        <v>1</v>
      </c>
    </row>
    <row r="353" spans="1:9" hidden="1" x14ac:dyDescent="0.25">
      <c r="A353" t="s">
        <v>238</v>
      </c>
      <c r="B353" t="s">
        <v>1247</v>
      </c>
      <c r="C353" t="s">
        <v>345</v>
      </c>
      <c r="D353" t="s">
        <v>1799</v>
      </c>
      <c r="E353" t="s">
        <v>1309</v>
      </c>
      <c r="F353" t="s">
        <v>250</v>
      </c>
      <c r="G353" s="1">
        <v>1</v>
      </c>
    </row>
    <row r="354" spans="1:9" hidden="1" x14ac:dyDescent="0.25">
      <c r="A354" t="s">
        <v>238</v>
      </c>
      <c r="B354" t="s">
        <v>1122</v>
      </c>
      <c r="C354" t="s">
        <v>729</v>
      </c>
      <c r="D354" t="s">
        <v>1799</v>
      </c>
      <c r="E354" t="s">
        <v>1309</v>
      </c>
      <c r="F354" t="s">
        <v>24</v>
      </c>
      <c r="G354" s="1">
        <v>1</v>
      </c>
    </row>
    <row r="355" spans="1:9" hidden="1" x14ac:dyDescent="0.25">
      <c r="A355" t="s">
        <v>238</v>
      </c>
      <c r="B355" t="s">
        <v>1247</v>
      </c>
      <c r="C355" t="s">
        <v>941</v>
      </c>
      <c r="D355" t="s">
        <v>1799</v>
      </c>
      <c r="E355" t="s">
        <v>1302</v>
      </c>
      <c r="F355" t="s">
        <v>250</v>
      </c>
      <c r="G355" s="1">
        <v>1</v>
      </c>
    </row>
    <row r="356" spans="1:9" hidden="1" x14ac:dyDescent="0.25">
      <c r="A356" s="94" t="s">
        <v>238</v>
      </c>
      <c r="B356" s="94" t="s">
        <v>1001</v>
      </c>
      <c r="C356" s="94" t="s">
        <v>338</v>
      </c>
      <c r="D356" s="94" t="s">
        <v>1837</v>
      </c>
      <c r="E356" s="94" t="s">
        <v>1264</v>
      </c>
      <c r="F356" s="94"/>
      <c r="G356" s="95">
        <v>1</v>
      </c>
      <c r="H356" s="94"/>
      <c r="I356" s="94"/>
    </row>
    <row r="357" spans="1:9" hidden="1" x14ac:dyDescent="0.25">
      <c r="A357" s="94" t="s">
        <v>245</v>
      </c>
      <c r="B357" s="94" t="s">
        <v>217</v>
      </c>
      <c r="C357" s="94" t="s">
        <v>345</v>
      </c>
      <c r="D357" s="94" t="s">
        <v>1837</v>
      </c>
      <c r="E357" s="94" t="s">
        <v>1272</v>
      </c>
      <c r="F357" s="94"/>
      <c r="G357" s="95">
        <v>1</v>
      </c>
      <c r="H357" s="94"/>
      <c r="I357" s="94"/>
    </row>
    <row r="358" spans="1:9" hidden="1" x14ac:dyDescent="0.25">
      <c r="A358" s="94" t="s">
        <v>238</v>
      </c>
      <c r="B358" s="94" t="s">
        <v>1001</v>
      </c>
      <c r="C358" s="94" t="s">
        <v>1258</v>
      </c>
      <c r="D358" s="94" t="s">
        <v>1837</v>
      </c>
      <c r="E358" s="94" t="s">
        <v>1831</v>
      </c>
      <c r="F358" s="94"/>
      <c r="G358" s="95">
        <v>1</v>
      </c>
      <c r="H358" s="94"/>
      <c r="I358" s="94"/>
    </row>
    <row r="359" spans="1:9" hidden="1" x14ac:dyDescent="0.25">
      <c r="A359" s="94" t="s">
        <v>238</v>
      </c>
      <c r="B359" s="94" t="s">
        <v>1247</v>
      </c>
      <c r="C359" s="94" t="s">
        <v>941</v>
      </c>
      <c r="D359" s="94" t="s">
        <v>1812</v>
      </c>
      <c r="E359" s="94" t="s">
        <v>1309</v>
      </c>
      <c r="F359" s="94" t="s">
        <v>537</v>
      </c>
      <c r="G359" s="95">
        <v>1</v>
      </c>
    </row>
    <row r="360" spans="1:9" hidden="1" x14ac:dyDescent="0.25">
      <c r="A360" s="94" t="s">
        <v>238</v>
      </c>
      <c r="B360" s="94" t="s">
        <v>1247</v>
      </c>
      <c r="C360" s="94" t="s">
        <v>1924</v>
      </c>
      <c r="D360" s="94" t="s">
        <v>1812</v>
      </c>
      <c r="E360" s="94" t="s">
        <v>1309</v>
      </c>
      <c r="F360" s="94" t="s">
        <v>537</v>
      </c>
      <c r="G360" s="95">
        <v>3</v>
      </c>
    </row>
    <row r="361" spans="1:9" hidden="1" x14ac:dyDescent="0.25">
      <c r="A361" s="135" t="s">
        <v>238</v>
      </c>
      <c r="B361" s="135" t="s">
        <v>1247</v>
      </c>
      <c r="C361" s="135" t="s">
        <v>176</v>
      </c>
      <c r="D361" s="135" t="s">
        <v>2057</v>
      </c>
      <c r="E361" s="135" t="s">
        <v>1320</v>
      </c>
      <c r="F361" s="135" t="s">
        <v>1979</v>
      </c>
      <c r="G361" s="136">
        <v>0</v>
      </c>
      <c r="H361" s="135"/>
      <c r="I361" s="135"/>
    </row>
    <row r="362" spans="1:9" hidden="1" x14ac:dyDescent="0.25">
      <c r="A362" t="s">
        <v>195</v>
      </c>
      <c r="B362" t="s">
        <v>662</v>
      </c>
      <c r="C362" t="s">
        <v>59</v>
      </c>
      <c r="D362" t="s">
        <v>1647</v>
      </c>
      <c r="E362" t="s">
        <v>1320</v>
      </c>
      <c r="F362" t="s">
        <v>1646</v>
      </c>
      <c r="G362" s="1">
        <v>1</v>
      </c>
    </row>
    <row r="363" spans="1:9" hidden="1" x14ac:dyDescent="0.25">
      <c r="A363" t="s">
        <v>245</v>
      </c>
      <c r="B363" t="s">
        <v>1793</v>
      </c>
      <c r="D363" t="s">
        <v>1895</v>
      </c>
      <c r="E363" t="s">
        <v>1978</v>
      </c>
      <c r="G363" s="1">
        <v>1</v>
      </c>
    </row>
    <row r="364" spans="1:9" hidden="1" x14ac:dyDescent="0.25">
      <c r="A364" t="s">
        <v>195</v>
      </c>
      <c r="B364" t="s">
        <v>1175</v>
      </c>
      <c r="C364" t="s">
        <v>298</v>
      </c>
      <c r="D364" t="s">
        <v>1668</v>
      </c>
      <c r="E364" t="s">
        <v>1309</v>
      </c>
      <c r="G364" s="1">
        <v>1</v>
      </c>
    </row>
    <row r="365" spans="1:9" hidden="1" x14ac:dyDescent="0.25">
      <c r="A365" t="s">
        <v>195</v>
      </c>
      <c r="B365" t="s">
        <v>662</v>
      </c>
      <c r="C365" t="s">
        <v>1027</v>
      </c>
      <c r="D365" t="s">
        <v>1675</v>
      </c>
      <c r="E365" t="s">
        <v>1323</v>
      </c>
      <c r="F365" t="s">
        <v>1674</v>
      </c>
      <c r="G365" s="1">
        <v>1</v>
      </c>
    </row>
    <row r="366" spans="1:9" hidden="1" x14ac:dyDescent="0.25">
      <c r="A366" s="96" t="s">
        <v>211</v>
      </c>
      <c r="B366" s="96" t="s">
        <v>1849</v>
      </c>
      <c r="C366" s="96" t="s">
        <v>1258</v>
      </c>
      <c r="D366" s="96" t="s">
        <v>1838</v>
      </c>
      <c r="E366" s="96" t="s">
        <v>1261</v>
      </c>
      <c r="F366" s="96" t="s">
        <v>250</v>
      </c>
      <c r="G366" s="95">
        <v>1</v>
      </c>
      <c r="H366" s="96"/>
      <c r="I366" s="96"/>
    </row>
    <row r="367" spans="1:9" hidden="1" x14ac:dyDescent="0.25">
      <c r="A367" t="s">
        <v>195</v>
      </c>
      <c r="B367" t="s">
        <v>1696</v>
      </c>
      <c r="C367" t="s">
        <v>677</v>
      </c>
      <c r="D367" t="s">
        <v>1693</v>
      </c>
      <c r="E367" t="s">
        <v>1323</v>
      </c>
      <c r="G367" s="1">
        <v>1</v>
      </c>
    </row>
    <row r="368" spans="1:9" hidden="1" x14ac:dyDescent="0.25">
      <c r="A368" t="s">
        <v>195</v>
      </c>
      <c r="B368" t="s">
        <v>1287</v>
      </c>
      <c r="C368" t="s">
        <v>729</v>
      </c>
      <c r="D368" t="s">
        <v>1712</v>
      </c>
      <c r="E368" t="s">
        <v>1323</v>
      </c>
      <c r="G368" s="1">
        <v>1</v>
      </c>
    </row>
    <row r="369" spans="1:9" hidden="1" x14ac:dyDescent="0.25">
      <c r="A369" t="s">
        <v>195</v>
      </c>
      <c r="B369" t="s">
        <v>662</v>
      </c>
      <c r="C369" t="s">
        <v>1027</v>
      </c>
      <c r="D369" t="s">
        <v>1713</v>
      </c>
      <c r="E369" t="s">
        <v>1714</v>
      </c>
      <c r="G369" s="1">
        <v>1</v>
      </c>
    </row>
    <row r="370" spans="1:9" hidden="1" x14ac:dyDescent="0.25">
      <c r="A370" t="s">
        <v>195</v>
      </c>
      <c r="B370" t="s">
        <v>1287</v>
      </c>
      <c r="C370" t="s">
        <v>1288</v>
      </c>
      <c r="D370" t="s">
        <v>1750</v>
      </c>
      <c r="E370" t="s">
        <v>1309</v>
      </c>
      <c r="G370" s="1">
        <v>1</v>
      </c>
    </row>
    <row r="371" spans="1:9" hidden="1" x14ac:dyDescent="0.25">
      <c r="A371" t="s">
        <v>195</v>
      </c>
      <c r="B371" t="s">
        <v>662</v>
      </c>
      <c r="C371" t="s">
        <v>1027</v>
      </c>
      <c r="D371" t="s">
        <v>1677</v>
      </c>
      <c r="E371" t="s">
        <v>1309</v>
      </c>
      <c r="G371" s="1">
        <v>1</v>
      </c>
    </row>
    <row r="372" spans="1:9" s="135" customFormat="1" ht="13.5" hidden="1" customHeight="1" x14ac:dyDescent="0.25">
      <c r="A372" t="s">
        <v>123</v>
      </c>
      <c r="B372" t="s">
        <v>1797</v>
      </c>
      <c r="C372" t="s">
        <v>166</v>
      </c>
      <c r="D372" t="s">
        <v>1790</v>
      </c>
      <c r="E372" t="s">
        <v>1302</v>
      </c>
      <c r="F372"/>
      <c r="G372" s="1">
        <v>1</v>
      </c>
      <c r="H372"/>
      <c r="I372"/>
    </row>
    <row r="373" spans="1:9" hidden="1" x14ac:dyDescent="0.25">
      <c r="A373" s="94"/>
      <c r="B373" s="94"/>
      <c r="C373" s="94"/>
      <c r="D373" s="94"/>
      <c r="E373" s="94"/>
      <c r="F373" s="94" t="s">
        <v>537</v>
      </c>
      <c r="G373" s="95">
        <v>1</v>
      </c>
    </row>
    <row r="374" spans="1:9" hidden="1" x14ac:dyDescent="0.25">
      <c r="A374" s="94"/>
      <c r="B374" s="94"/>
      <c r="C374" s="94"/>
      <c r="D374" s="94"/>
      <c r="E374" s="94"/>
      <c r="F374" s="94" t="s">
        <v>537</v>
      </c>
      <c r="G374" s="95">
        <v>1</v>
      </c>
    </row>
    <row r="375" spans="1:9" hidden="1" x14ac:dyDescent="0.25">
      <c r="F375" s="94" t="s">
        <v>537</v>
      </c>
      <c r="G375" s="95">
        <v>1</v>
      </c>
    </row>
    <row r="376" spans="1:9" s="132" customFormat="1" hidden="1" x14ac:dyDescent="0.25">
      <c r="A376"/>
      <c r="B376"/>
      <c r="C376"/>
      <c r="D376"/>
      <c r="E376"/>
      <c r="F376" s="94" t="s">
        <v>537</v>
      </c>
      <c r="G376" s="95">
        <v>1</v>
      </c>
      <c r="H376"/>
      <c r="I376"/>
    </row>
    <row r="377" spans="1:9" s="132" customFormat="1" hidden="1" x14ac:dyDescent="0.25">
      <c r="A377"/>
      <c r="B377"/>
      <c r="C377"/>
      <c r="D377"/>
      <c r="E377"/>
      <c r="F377" s="94" t="s">
        <v>537</v>
      </c>
      <c r="G377" s="95">
        <v>1</v>
      </c>
      <c r="H377"/>
      <c r="I377"/>
    </row>
    <row r="379" spans="1:9" x14ac:dyDescent="0.25">
      <c r="C379">
        <f>SUBTOTAL(9,C363:C378)</f>
        <v>0</v>
      </c>
    </row>
    <row r="383" spans="1:9" x14ac:dyDescent="0.25">
      <c r="B383" s="103"/>
    </row>
    <row r="385" spans="3:3" x14ac:dyDescent="0.25">
      <c r="C385" t="s">
        <v>1001</v>
      </c>
    </row>
  </sheetData>
  <autoFilter ref="A2:I377" xr:uid="{13BEC4CC-B00A-45F0-B641-E956E589D5CC}">
    <filterColumn colId="0">
      <filters>
        <filter val="FORD"/>
        <filter val="FORD  MAZDA"/>
        <filter val="FORD MAZDA"/>
        <filter val="MAZDA FORD"/>
      </filters>
    </filterColumn>
    <sortState xmlns:xlrd2="http://schemas.microsoft.com/office/spreadsheetml/2017/richdata2" ref="A4:I372">
      <sortCondition ref="A2:A377"/>
    </sortState>
  </autoFilter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B186-4858-46F9-AED2-BA7D88E89B49}">
  <sheetPr>
    <tabColor rgb="FF7030A0"/>
  </sheetPr>
  <dimension ref="A1:K16"/>
  <sheetViews>
    <sheetView topLeftCell="B1" workbookViewId="0">
      <selection activeCell="B16" sqref="B16"/>
    </sheetView>
  </sheetViews>
  <sheetFormatPr baseColWidth="10" defaultRowHeight="15" x14ac:dyDescent="0.25"/>
  <cols>
    <col min="2" max="2" width="74.5703125" customWidth="1"/>
    <col min="6" max="6" width="25.85546875" customWidth="1"/>
  </cols>
  <sheetData>
    <row r="1" spans="1:11" s="164" customFormat="1" x14ac:dyDescent="0.25">
      <c r="A1" s="161" t="s">
        <v>39</v>
      </c>
      <c r="B1" s="162" t="s">
        <v>1197</v>
      </c>
      <c r="C1" s="162" t="s">
        <v>94</v>
      </c>
      <c r="D1" s="162" t="s">
        <v>133</v>
      </c>
      <c r="E1" s="162" t="s">
        <v>11</v>
      </c>
      <c r="F1" s="161"/>
      <c r="G1" s="162">
        <v>1</v>
      </c>
      <c r="H1" s="163">
        <v>47000</v>
      </c>
      <c r="I1" s="159">
        <f t="shared" ref="I1:I13" si="0">H1*2+20000</f>
        <v>114000</v>
      </c>
    </row>
    <row r="2" spans="1:11" x14ac:dyDescent="0.25">
      <c r="A2" s="135" t="s">
        <v>60</v>
      </c>
      <c r="B2" s="136" t="s">
        <v>825</v>
      </c>
      <c r="C2" s="136" t="s">
        <v>94</v>
      </c>
      <c r="D2" s="136" t="s">
        <v>1963</v>
      </c>
      <c r="E2" s="136" t="s">
        <v>11</v>
      </c>
      <c r="F2" s="135"/>
      <c r="G2" s="136">
        <v>1</v>
      </c>
      <c r="H2" s="137">
        <v>61000</v>
      </c>
      <c r="I2" s="131">
        <f t="shared" si="0"/>
        <v>142000</v>
      </c>
    </row>
    <row r="3" spans="1:11" x14ac:dyDescent="0.25">
      <c r="A3" s="135" t="s">
        <v>144</v>
      </c>
      <c r="B3" s="136" t="s">
        <v>157</v>
      </c>
      <c r="C3" s="136" t="s">
        <v>1319</v>
      </c>
      <c r="D3" s="136" t="s">
        <v>407</v>
      </c>
      <c r="E3" s="136" t="s">
        <v>158</v>
      </c>
      <c r="F3" s="135"/>
      <c r="G3" s="136">
        <v>1</v>
      </c>
      <c r="H3" s="137">
        <v>42000</v>
      </c>
      <c r="I3" s="131">
        <f t="shared" si="0"/>
        <v>104000</v>
      </c>
    </row>
    <row r="4" spans="1:11" x14ac:dyDescent="0.25">
      <c r="A4" s="135" t="s">
        <v>144</v>
      </c>
      <c r="B4" s="136" t="s">
        <v>541</v>
      </c>
      <c r="C4" s="136" t="s">
        <v>153</v>
      </c>
      <c r="D4" s="136" t="s">
        <v>2018</v>
      </c>
      <c r="E4" s="136" t="s">
        <v>11</v>
      </c>
      <c r="F4" s="135"/>
      <c r="G4" s="136">
        <v>1</v>
      </c>
      <c r="H4" s="137">
        <v>50000</v>
      </c>
      <c r="I4" s="131">
        <f t="shared" si="0"/>
        <v>120000</v>
      </c>
    </row>
    <row r="5" spans="1:11" x14ac:dyDescent="0.25">
      <c r="A5" s="135" t="s">
        <v>144</v>
      </c>
      <c r="B5" s="136" t="s">
        <v>706</v>
      </c>
      <c r="C5" s="136" t="s">
        <v>10</v>
      </c>
      <c r="D5" s="136" t="s">
        <v>2037</v>
      </c>
      <c r="E5" s="136" t="s">
        <v>11</v>
      </c>
      <c r="F5" s="135"/>
      <c r="G5" s="136">
        <v>1</v>
      </c>
      <c r="H5" s="137">
        <v>44000</v>
      </c>
      <c r="I5" s="131">
        <f t="shared" si="0"/>
        <v>108000</v>
      </c>
    </row>
    <row r="6" spans="1:11" x14ac:dyDescent="0.25">
      <c r="A6" s="135" t="s">
        <v>225</v>
      </c>
      <c r="B6" s="136" t="s">
        <v>778</v>
      </c>
      <c r="C6" s="136" t="s">
        <v>119</v>
      </c>
      <c r="D6" s="136" t="s">
        <v>1952</v>
      </c>
      <c r="E6" s="136" t="s">
        <v>11</v>
      </c>
      <c r="F6" s="135" t="s">
        <v>2014</v>
      </c>
      <c r="G6" s="136">
        <v>1</v>
      </c>
      <c r="H6" s="137">
        <v>61000</v>
      </c>
      <c r="I6" s="131">
        <f t="shared" si="0"/>
        <v>142000</v>
      </c>
    </row>
    <row r="7" spans="1:11" s="164" customFormat="1" x14ac:dyDescent="0.25">
      <c r="A7" s="161" t="s">
        <v>238</v>
      </c>
      <c r="B7" s="162" t="s">
        <v>721</v>
      </c>
      <c r="C7" s="162" t="s">
        <v>575</v>
      </c>
      <c r="D7" s="162" t="s">
        <v>1279</v>
      </c>
      <c r="E7" s="162" t="s">
        <v>11</v>
      </c>
      <c r="F7" s="161"/>
      <c r="G7" s="162">
        <v>1</v>
      </c>
      <c r="H7" s="163">
        <v>40000</v>
      </c>
      <c r="I7" s="159">
        <f t="shared" si="0"/>
        <v>100000</v>
      </c>
    </row>
    <row r="8" spans="1:11" s="164" customFormat="1" x14ac:dyDescent="0.25">
      <c r="A8" s="161" t="s">
        <v>195</v>
      </c>
      <c r="B8" s="162" t="s">
        <v>196</v>
      </c>
      <c r="C8" s="162" t="s">
        <v>197</v>
      </c>
      <c r="D8" s="162" t="s">
        <v>1945</v>
      </c>
      <c r="E8" s="162" t="s">
        <v>13</v>
      </c>
      <c r="F8" s="161" t="s">
        <v>1613</v>
      </c>
      <c r="G8" s="162">
        <v>1</v>
      </c>
      <c r="H8" s="163">
        <v>47000</v>
      </c>
      <c r="I8" s="159">
        <f t="shared" si="0"/>
        <v>114000</v>
      </c>
      <c r="J8" s="161"/>
    </row>
    <row r="9" spans="1:11" x14ac:dyDescent="0.25">
      <c r="A9" s="135" t="s">
        <v>238</v>
      </c>
      <c r="B9" s="136" t="s">
        <v>724</v>
      </c>
      <c r="C9" s="136" t="s">
        <v>119</v>
      </c>
      <c r="D9" s="136" t="s">
        <v>1945</v>
      </c>
      <c r="E9" s="136" t="s">
        <v>13</v>
      </c>
      <c r="F9" s="135"/>
      <c r="G9" s="136">
        <v>1</v>
      </c>
      <c r="H9" s="137">
        <v>40000</v>
      </c>
      <c r="I9" s="131">
        <f t="shared" si="0"/>
        <v>100000</v>
      </c>
      <c r="J9" s="135"/>
    </row>
    <row r="10" spans="1:11" x14ac:dyDescent="0.25">
      <c r="A10" s="135" t="s">
        <v>238</v>
      </c>
      <c r="B10" s="136" t="s">
        <v>725</v>
      </c>
      <c r="C10" s="136" t="s">
        <v>575</v>
      </c>
      <c r="D10" s="136" t="s">
        <v>1945</v>
      </c>
      <c r="E10" s="136" t="s">
        <v>13</v>
      </c>
      <c r="F10" s="135" t="s">
        <v>537</v>
      </c>
      <c r="G10" s="136">
        <v>1</v>
      </c>
      <c r="H10" s="137">
        <v>26000</v>
      </c>
      <c r="I10" s="131">
        <f t="shared" si="0"/>
        <v>72000</v>
      </c>
      <c r="J10" s="135"/>
    </row>
    <row r="11" spans="1:11" s="164" customFormat="1" x14ac:dyDescent="0.25">
      <c r="A11" s="161" t="s">
        <v>60</v>
      </c>
      <c r="B11" s="162" t="s">
        <v>908</v>
      </c>
      <c r="C11" s="162" t="s">
        <v>909</v>
      </c>
      <c r="D11" s="162" t="s">
        <v>1945</v>
      </c>
      <c r="E11" s="162" t="s">
        <v>13</v>
      </c>
      <c r="F11" s="162" t="s">
        <v>198</v>
      </c>
      <c r="G11" s="162">
        <v>1</v>
      </c>
      <c r="H11" s="162">
        <v>48000</v>
      </c>
      <c r="I11" s="159">
        <f t="shared" si="0"/>
        <v>116000</v>
      </c>
      <c r="J11" s="161"/>
    </row>
    <row r="12" spans="1:11" s="160" customFormat="1" x14ac:dyDescent="0.25">
      <c r="A12" s="157" t="s">
        <v>60</v>
      </c>
      <c r="B12" s="158" t="s">
        <v>2043</v>
      </c>
      <c r="C12" s="158" t="s">
        <v>119</v>
      </c>
      <c r="D12" s="158" t="s">
        <v>1945</v>
      </c>
      <c r="E12" s="158" t="s">
        <v>13</v>
      </c>
      <c r="F12" s="158" t="s">
        <v>198</v>
      </c>
      <c r="G12" s="158">
        <v>1</v>
      </c>
      <c r="H12" s="159">
        <v>43000</v>
      </c>
      <c r="I12" s="159">
        <f t="shared" si="0"/>
        <v>106000</v>
      </c>
      <c r="J12" s="157"/>
    </row>
    <row r="13" spans="1:11" s="164" customFormat="1" x14ac:dyDescent="0.25">
      <c r="A13" s="161" t="s">
        <v>994</v>
      </c>
      <c r="B13" s="162" t="s">
        <v>995</v>
      </c>
      <c r="C13" s="162" t="s">
        <v>86</v>
      </c>
      <c r="D13" s="162" t="s">
        <v>1945</v>
      </c>
      <c r="E13" s="162" t="s">
        <v>13</v>
      </c>
      <c r="F13" s="162" t="s">
        <v>198</v>
      </c>
      <c r="G13" s="162">
        <v>1</v>
      </c>
      <c r="H13" s="162">
        <v>30000</v>
      </c>
      <c r="I13" s="159">
        <f t="shared" si="0"/>
        <v>80000</v>
      </c>
      <c r="J13" s="161"/>
    </row>
    <row r="15" spans="1:11" x14ac:dyDescent="0.25">
      <c r="G15" s="28">
        <f>SUM(G1:G14)</f>
        <v>13</v>
      </c>
      <c r="H15" s="155">
        <f>SUM(H1:H14)</f>
        <v>579000</v>
      </c>
      <c r="I15" s="155">
        <f>SUM(I1:I14)</f>
        <v>1418000</v>
      </c>
      <c r="J15" s="28"/>
      <c r="K15" s="28"/>
    </row>
    <row r="16" spans="1:11" x14ac:dyDescent="0.25">
      <c r="G16" s="28"/>
      <c r="H16" s="155">
        <f>H15+H10+H11</f>
        <v>653000</v>
      </c>
      <c r="I16" s="28"/>
      <c r="J16" s="28"/>
      <c r="K1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46C0A"/>
  </sheetPr>
  <dimension ref="A7:K52"/>
  <sheetViews>
    <sheetView zoomScaleNormal="100" workbookViewId="0">
      <selection activeCell="B8" sqref="B8"/>
    </sheetView>
  </sheetViews>
  <sheetFormatPr baseColWidth="10" defaultColWidth="10.7109375" defaultRowHeight="15" x14ac:dyDescent="0.25"/>
  <cols>
    <col min="1" max="1" width="19.7109375" customWidth="1"/>
    <col min="2" max="2" width="27.140625" customWidth="1"/>
    <col min="3" max="3" width="19.5703125" style="1" customWidth="1"/>
    <col min="4" max="4" width="15.42578125" customWidth="1"/>
    <col min="5" max="5" width="18.85546875" customWidth="1"/>
    <col min="6" max="6" width="29.42578125" customWidth="1"/>
    <col min="7" max="7" width="18.7109375" hidden="1" customWidth="1"/>
    <col min="8" max="8" width="12.7109375" hidden="1" customWidth="1"/>
    <col min="9" max="9" width="10.85546875" hidden="1" customWidth="1"/>
    <col min="11" max="11" width="12" style="11" customWidth="1"/>
  </cols>
  <sheetData>
    <row r="7" spans="1:10" x14ac:dyDescent="0.25">
      <c r="A7" s="12" t="s">
        <v>0</v>
      </c>
      <c r="B7" s="12" t="s">
        <v>1</v>
      </c>
      <c r="C7" s="12" t="s">
        <v>1257</v>
      </c>
      <c r="D7" s="12" t="s">
        <v>1329</v>
      </c>
      <c r="E7" s="12" t="s">
        <v>1330</v>
      </c>
      <c r="F7" s="12" t="s">
        <v>1331</v>
      </c>
      <c r="G7" s="12" t="s">
        <v>1332</v>
      </c>
      <c r="H7" s="12" t="s">
        <v>1333</v>
      </c>
      <c r="I7" s="12" t="s">
        <v>1334</v>
      </c>
      <c r="J7" s="13" t="s">
        <v>1335</v>
      </c>
    </row>
    <row r="8" spans="1:10" ht="21.75" customHeight="1" x14ac:dyDescent="0.25">
      <c r="A8" s="103" t="s">
        <v>60</v>
      </c>
      <c r="B8" s="103" t="s">
        <v>1336</v>
      </c>
      <c r="C8" s="103" t="s">
        <v>318</v>
      </c>
      <c r="D8" s="103"/>
      <c r="E8" s="103" t="s">
        <v>1337</v>
      </c>
      <c r="F8" s="103">
        <v>760</v>
      </c>
      <c r="G8" s="106">
        <v>130000</v>
      </c>
      <c r="H8" s="106">
        <v>200000</v>
      </c>
      <c r="I8" s="106">
        <v>230000</v>
      </c>
      <c r="J8" s="103">
        <v>9</v>
      </c>
    </row>
    <row r="9" spans="1:10" ht="21.75" customHeight="1" x14ac:dyDescent="0.25">
      <c r="A9" s="103" t="s">
        <v>195</v>
      </c>
      <c r="B9" s="103" t="s">
        <v>196</v>
      </c>
      <c r="C9" s="103" t="s">
        <v>197</v>
      </c>
      <c r="D9" s="103"/>
      <c r="E9" s="103" t="s">
        <v>1337</v>
      </c>
      <c r="F9" s="103">
        <v>364</v>
      </c>
      <c r="G9" s="106">
        <v>125000</v>
      </c>
      <c r="H9" s="106">
        <v>200000</v>
      </c>
      <c r="I9" s="106">
        <v>230000</v>
      </c>
      <c r="J9" s="103">
        <v>5</v>
      </c>
    </row>
    <row r="10" spans="1:10" ht="21.75" customHeight="1" x14ac:dyDescent="0.25">
      <c r="A10" s="103" t="s">
        <v>245</v>
      </c>
      <c r="B10" s="103" t="s">
        <v>1338</v>
      </c>
      <c r="C10" s="103" t="s">
        <v>119</v>
      </c>
      <c r="D10" s="103"/>
      <c r="E10" s="103" t="s">
        <v>1337</v>
      </c>
      <c r="F10" s="103">
        <v>242</v>
      </c>
      <c r="G10" s="106">
        <v>125000</v>
      </c>
      <c r="H10" s="106">
        <v>200000</v>
      </c>
      <c r="I10" s="106">
        <v>230000</v>
      </c>
      <c r="J10" s="103">
        <v>10</v>
      </c>
    </row>
    <row r="11" spans="1:10" ht="21.75" customHeight="1" x14ac:dyDescent="0.25">
      <c r="A11" s="103" t="s">
        <v>183</v>
      </c>
      <c r="B11" s="103" t="s">
        <v>602</v>
      </c>
      <c r="C11" s="103" t="s">
        <v>377</v>
      </c>
      <c r="D11" s="103"/>
      <c r="E11" s="103" t="s">
        <v>1337</v>
      </c>
      <c r="F11" s="103">
        <v>166</v>
      </c>
      <c r="G11" s="104">
        <v>130000</v>
      </c>
      <c r="H11" s="104">
        <v>210000</v>
      </c>
      <c r="I11" s="104">
        <v>230000</v>
      </c>
      <c r="J11" s="103">
        <v>2</v>
      </c>
    </row>
    <row r="12" spans="1:10" ht="21.75" customHeight="1" x14ac:dyDescent="0.25">
      <c r="A12" s="103" t="s">
        <v>60</v>
      </c>
      <c r="B12" s="103" t="s">
        <v>1314</v>
      </c>
      <c r="C12" s="103"/>
      <c r="D12" s="103"/>
      <c r="E12" s="103" t="s">
        <v>1337</v>
      </c>
      <c r="F12" s="103">
        <v>740</v>
      </c>
      <c r="G12" s="104">
        <v>125000</v>
      </c>
      <c r="H12" s="104">
        <v>200000</v>
      </c>
      <c r="I12" s="104">
        <v>230000</v>
      </c>
      <c r="J12" s="103">
        <v>13</v>
      </c>
    </row>
    <row r="13" spans="1:10" ht="21.75" customHeight="1" x14ac:dyDescent="0.25">
      <c r="A13" s="103" t="s">
        <v>245</v>
      </c>
      <c r="B13" s="103" t="s">
        <v>1339</v>
      </c>
      <c r="C13" s="103" t="s">
        <v>103</v>
      </c>
      <c r="D13" s="103"/>
      <c r="E13" s="103" t="s">
        <v>1337</v>
      </c>
      <c r="F13" s="103">
        <v>242</v>
      </c>
      <c r="G13" s="106">
        <v>125000</v>
      </c>
      <c r="H13" s="106">
        <v>200000</v>
      </c>
      <c r="I13" s="106">
        <v>230000</v>
      </c>
      <c r="J13" s="103">
        <v>5</v>
      </c>
    </row>
    <row r="14" spans="1:10" ht="21.75" customHeight="1" x14ac:dyDescent="0.25">
      <c r="A14" s="103" t="s">
        <v>1340</v>
      </c>
      <c r="B14" s="103" t="s">
        <v>1341</v>
      </c>
      <c r="C14" s="103" t="s">
        <v>103</v>
      </c>
      <c r="D14" s="103"/>
      <c r="E14" s="103" t="s">
        <v>1337</v>
      </c>
      <c r="F14" s="103">
        <v>160</v>
      </c>
      <c r="G14" s="106">
        <v>125000</v>
      </c>
      <c r="H14" s="106">
        <v>200000</v>
      </c>
      <c r="I14" s="106">
        <v>230000</v>
      </c>
      <c r="J14" s="103">
        <v>3</v>
      </c>
    </row>
    <row r="15" spans="1:10" ht="21.75" customHeight="1" x14ac:dyDescent="0.25">
      <c r="A15" s="103" t="s">
        <v>225</v>
      </c>
      <c r="B15" s="103" t="s">
        <v>1342</v>
      </c>
      <c r="C15" s="103" t="s">
        <v>566</v>
      </c>
      <c r="D15" s="103"/>
      <c r="E15" s="103" t="s">
        <v>1337</v>
      </c>
      <c r="F15" s="103">
        <v>646</v>
      </c>
      <c r="G15" s="104">
        <v>130000</v>
      </c>
      <c r="H15" s="104">
        <v>210000</v>
      </c>
      <c r="I15" s="104">
        <v>230000</v>
      </c>
      <c r="J15" s="103">
        <v>9</v>
      </c>
    </row>
    <row r="16" spans="1:10" ht="21.75" customHeight="1" x14ac:dyDescent="0.25">
      <c r="A16" s="103" t="s">
        <v>225</v>
      </c>
      <c r="B16" s="103" t="s">
        <v>1343</v>
      </c>
      <c r="C16" s="103" t="s">
        <v>19</v>
      </c>
      <c r="D16" s="103"/>
      <c r="E16" s="103" t="s">
        <v>1337</v>
      </c>
      <c r="F16" s="103">
        <v>648</v>
      </c>
      <c r="G16" s="104">
        <v>140000</v>
      </c>
      <c r="H16" s="104">
        <v>210000</v>
      </c>
      <c r="I16" s="104">
        <v>230000</v>
      </c>
      <c r="J16" s="103">
        <v>7</v>
      </c>
    </row>
    <row r="17" spans="1:11" ht="21.75" customHeight="1" x14ac:dyDescent="0.25">
      <c r="A17" s="103" t="s">
        <v>225</v>
      </c>
      <c r="B17" s="103" t="s">
        <v>1891</v>
      </c>
      <c r="C17" s="105"/>
      <c r="D17" s="103"/>
      <c r="E17" s="103" t="s">
        <v>1337</v>
      </c>
      <c r="F17" s="103">
        <v>650</v>
      </c>
      <c r="G17" s="106">
        <v>135000</v>
      </c>
      <c r="H17" s="106">
        <v>210000</v>
      </c>
      <c r="I17" s="106">
        <v>230000</v>
      </c>
      <c r="J17" s="103">
        <v>10</v>
      </c>
    </row>
    <row r="18" spans="1:11" ht="21.75" customHeight="1" x14ac:dyDescent="0.25">
      <c r="A18" s="103" t="s">
        <v>225</v>
      </c>
      <c r="B18" s="103" t="s">
        <v>1344</v>
      </c>
      <c r="C18" s="105" t="s">
        <v>119</v>
      </c>
      <c r="D18" s="103"/>
      <c r="E18" s="103" t="s">
        <v>1337</v>
      </c>
      <c r="F18" s="103"/>
      <c r="G18" s="106"/>
      <c r="H18" s="106"/>
      <c r="I18" s="106"/>
      <c r="J18" s="103">
        <v>1</v>
      </c>
    </row>
    <row r="19" spans="1:11" ht="21.75" customHeight="1" x14ac:dyDescent="0.25">
      <c r="A19" s="103" t="s">
        <v>195</v>
      </c>
      <c r="B19" s="103" t="s">
        <v>1345</v>
      </c>
      <c r="C19" s="103"/>
      <c r="D19" s="103"/>
      <c r="E19" s="103" t="s">
        <v>1337</v>
      </c>
      <c r="F19" s="103">
        <v>356</v>
      </c>
      <c r="G19" s="106">
        <v>135000</v>
      </c>
      <c r="H19" s="106">
        <v>210000</v>
      </c>
      <c r="I19" s="106">
        <v>230000</v>
      </c>
      <c r="J19" s="103">
        <v>9</v>
      </c>
    </row>
    <row r="20" spans="1:11" ht="21.75" customHeight="1" x14ac:dyDescent="0.25">
      <c r="A20" s="103" t="s">
        <v>405</v>
      </c>
      <c r="B20" s="103" t="s">
        <v>1346</v>
      </c>
      <c r="C20" s="103" t="s">
        <v>119</v>
      </c>
      <c r="D20" s="103"/>
      <c r="E20" s="103" t="s">
        <v>1337</v>
      </c>
      <c r="F20" s="103">
        <v>400</v>
      </c>
      <c r="G20" s="106">
        <v>130000</v>
      </c>
      <c r="H20" s="106">
        <v>210000</v>
      </c>
      <c r="I20" s="106">
        <v>230000</v>
      </c>
      <c r="J20" s="103">
        <v>8</v>
      </c>
    </row>
    <row r="21" spans="1:11" ht="21.75" customHeight="1" x14ac:dyDescent="0.25">
      <c r="A21" s="103" t="s">
        <v>60</v>
      </c>
      <c r="B21" s="103" t="s">
        <v>1347</v>
      </c>
      <c r="C21" s="103" t="s">
        <v>119</v>
      </c>
      <c r="D21" s="103"/>
      <c r="E21" s="103" t="s">
        <v>1337</v>
      </c>
      <c r="F21" s="103">
        <v>747</v>
      </c>
      <c r="G21" s="106">
        <v>125000</v>
      </c>
      <c r="H21" s="106">
        <v>200000</v>
      </c>
      <c r="I21" s="106">
        <v>230000</v>
      </c>
      <c r="J21" s="103">
        <v>5</v>
      </c>
    </row>
    <row r="22" spans="1:11" s="103" customFormat="1" ht="21.75" customHeight="1" x14ac:dyDescent="0.25">
      <c r="A22" s="103" t="s">
        <v>238</v>
      </c>
      <c r="B22" s="103" t="s">
        <v>1348</v>
      </c>
      <c r="D22" s="103" t="s">
        <v>1349</v>
      </c>
      <c r="E22" s="103" t="s">
        <v>1350</v>
      </c>
      <c r="F22" s="103" t="s">
        <v>1348</v>
      </c>
      <c r="G22" s="106">
        <v>135000</v>
      </c>
      <c r="H22" s="106">
        <v>180000</v>
      </c>
      <c r="I22" s="106">
        <v>230000</v>
      </c>
      <c r="J22" s="107">
        <v>11</v>
      </c>
    </row>
    <row r="23" spans="1:11" s="103" customFormat="1" ht="21.75" customHeight="1" x14ac:dyDescent="0.25">
      <c r="A23" s="103" t="s">
        <v>60</v>
      </c>
      <c r="B23" s="103" t="s">
        <v>1314</v>
      </c>
      <c r="D23" s="103" t="s">
        <v>1349</v>
      </c>
      <c r="E23" s="103" t="s">
        <v>1350</v>
      </c>
      <c r="F23" s="103" t="s">
        <v>1351</v>
      </c>
      <c r="G23" s="106">
        <v>135000</v>
      </c>
      <c r="H23" s="106">
        <v>180000</v>
      </c>
      <c r="I23" s="106">
        <v>230000</v>
      </c>
      <c r="J23" s="114">
        <v>9</v>
      </c>
    </row>
    <row r="24" spans="1:11" s="103" customFormat="1" ht="21.75" customHeight="1" x14ac:dyDescent="0.25">
      <c r="A24" s="103" t="s">
        <v>1327</v>
      </c>
      <c r="B24" s="103" t="s">
        <v>1352</v>
      </c>
      <c r="D24" s="103" t="s">
        <v>1349</v>
      </c>
      <c r="E24" s="103" t="s">
        <v>1350</v>
      </c>
      <c r="F24" s="103" t="s">
        <v>174</v>
      </c>
      <c r="G24" s="106">
        <v>135000</v>
      </c>
      <c r="H24" s="106">
        <v>180000</v>
      </c>
      <c r="I24" s="106">
        <v>230000</v>
      </c>
      <c r="J24" s="107">
        <v>6</v>
      </c>
    </row>
    <row r="25" spans="1:11" s="109" customFormat="1" ht="21.75" customHeight="1" x14ac:dyDescent="0.25">
      <c r="A25" s="109" t="s">
        <v>238</v>
      </c>
      <c r="B25" s="109" t="s">
        <v>1353</v>
      </c>
      <c r="C25" s="110"/>
      <c r="D25" s="109" t="s">
        <v>1349</v>
      </c>
      <c r="E25" s="109" t="s">
        <v>1354</v>
      </c>
      <c r="F25" s="109" t="s">
        <v>1353</v>
      </c>
      <c r="G25" s="111">
        <v>225000</v>
      </c>
      <c r="H25" s="111">
        <v>280000</v>
      </c>
      <c r="I25" s="111">
        <v>320000</v>
      </c>
      <c r="J25" s="112">
        <v>2</v>
      </c>
      <c r="K25" s="113" t="s">
        <v>2002</v>
      </c>
    </row>
    <row r="26" spans="1:11" s="103" customFormat="1" ht="21" customHeight="1" x14ac:dyDescent="0.25">
      <c r="A26" s="103" t="s">
        <v>60</v>
      </c>
      <c r="B26" s="103" t="s">
        <v>1314</v>
      </c>
      <c r="C26" s="105"/>
      <c r="D26" s="103" t="s">
        <v>1349</v>
      </c>
      <c r="E26" s="103" t="s">
        <v>1354</v>
      </c>
      <c r="F26" s="103" t="s">
        <v>1351</v>
      </c>
      <c r="G26" s="106">
        <v>225000</v>
      </c>
      <c r="H26" s="106">
        <v>280000</v>
      </c>
      <c r="I26" s="106">
        <v>320000</v>
      </c>
      <c r="J26" s="107">
        <v>20</v>
      </c>
      <c r="K26" s="108" t="s">
        <v>2003</v>
      </c>
    </row>
    <row r="27" spans="1:11" s="103" customFormat="1" ht="21.75" customHeight="1" x14ac:dyDescent="0.25">
      <c r="A27" s="103" t="s">
        <v>1327</v>
      </c>
      <c r="B27" s="103" t="s">
        <v>1355</v>
      </c>
      <c r="C27" s="105"/>
      <c r="D27" s="103" t="s">
        <v>1349</v>
      </c>
      <c r="E27" s="103" t="s">
        <v>1354</v>
      </c>
      <c r="F27" s="103" t="s">
        <v>174</v>
      </c>
      <c r="G27" s="106">
        <v>225000</v>
      </c>
      <c r="H27" s="106">
        <v>280000</v>
      </c>
      <c r="I27" s="106">
        <v>320000</v>
      </c>
      <c r="J27" s="107">
        <v>12</v>
      </c>
      <c r="K27" s="108"/>
    </row>
    <row r="28" spans="1:11" s="103" customFormat="1" ht="21.75" customHeight="1" x14ac:dyDescent="0.25">
      <c r="A28" s="103" t="s">
        <v>225</v>
      </c>
      <c r="B28" s="103" t="s">
        <v>778</v>
      </c>
      <c r="C28" s="105" t="s">
        <v>119</v>
      </c>
      <c r="D28" s="103" t="s">
        <v>1349</v>
      </c>
      <c r="E28" s="103" t="s">
        <v>1354</v>
      </c>
      <c r="F28" s="103" t="s">
        <v>1356</v>
      </c>
      <c r="G28" s="106">
        <v>225000</v>
      </c>
      <c r="H28" s="106">
        <v>280000</v>
      </c>
      <c r="I28" s="106">
        <v>320000</v>
      </c>
      <c r="J28" s="107">
        <v>4</v>
      </c>
      <c r="K28" s="108" t="s">
        <v>2004</v>
      </c>
    </row>
    <row r="29" spans="1:11" ht="21.75" customHeight="1" x14ac:dyDescent="0.25">
      <c r="A29" s="103" t="s">
        <v>60</v>
      </c>
      <c r="B29" s="103" t="s">
        <v>1301</v>
      </c>
      <c r="C29" s="105"/>
      <c r="D29" s="103"/>
      <c r="E29" s="103" t="s">
        <v>1357</v>
      </c>
      <c r="F29" s="103" t="s">
        <v>1889</v>
      </c>
      <c r="G29" s="106">
        <v>120000</v>
      </c>
      <c r="H29" s="106">
        <v>150000</v>
      </c>
      <c r="I29" s="106">
        <v>170000</v>
      </c>
      <c r="J29" s="107">
        <v>6</v>
      </c>
    </row>
    <row r="30" spans="1:11" ht="21.75" customHeight="1" x14ac:dyDescent="0.25">
      <c r="A30" s="103" t="s">
        <v>245</v>
      </c>
      <c r="B30" s="103" t="s">
        <v>1358</v>
      </c>
      <c r="C30" s="105"/>
      <c r="D30" s="103"/>
      <c r="E30" s="103" t="s">
        <v>1357</v>
      </c>
      <c r="F30" s="103" t="s">
        <v>1889</v>
      </c>
      <c r="G30" s="106">
        <v>120000</v>
      </c>
      <c r="H30" s="106">
        <v>150000</v>
      </c>
      <c r="I30" s="106">
        <v>170000</v>
      </c>
      <c r="J30" s="107">
        <v>5</v>
      </c>
    </row>
    <row r="31" spans="1:11" ht="21.75" customHeight="1" x14ac:dyDescent="0.25">
      <c r="A31" s="103" t="s">
        <v>225</v>
      </c>
      <c r="B31" s="103" t="s">
        <v>1362</v>
      </c>
      <c r="C31" s="105"/>
      <c r="D31" s="103"/>
      <c r="E31" s="103" t="s">
        <v>1357</v>
      </c>
      <c r="F31" s="103" t="s">
        <v>1890</v>
      </c>
      <c r="G31" s="106">
        <v>120000</v>
      </c>
      <c r="H31" s="106">
        <v>150000</v>
      </c>
      <c r="I31" s="106">
        <v>170000</v>
      </c>
      <c r="J31" s="107">
        <v>10</v>
      </c>
    </row>
    <row r="32" spans="1:11" s="103" customFormat="1" ht="21.75" customHeight="1" x14ac:dyDescent="0.25">
      <c r="A32" s="103" t="s">
        <v>238</v>
      </c>
      <c r="B32" s="103" t="s">
        <v>1359</v>
      </c>
      <c r="C32" s="105" t="s">
        <v>575</v>
      </c>
      <c r="E32" s="103" t="s">
        <v>1363</v>
      </c>
      <c r="F32" s="103" t="s">
        <v>1892</v>
      </c>
      <c r="G32" s="106">
        <v>115000</v>
      </c>
      <c r="H32" s="106">
        <v>155000</v>
      </c>
      <c r="I32" s="106">
        <v>200000</v>
      </c>
      <c r="J32" s="107">
        <v>0</v>
      </c>
      <c r="K32" s="108"/>
    </row>
    <row r="33" spans="1:11" s="103" customFormat="1" ht="21.75" customHeight="1" x14ac:dyDescent="0.25">
      <c r="A33" s="103" t="s">
        <v>238</v>
      </c>
      <c r="B33" s="103" t="s">
        <v>1360</v>
      </c>
      <c r="C33" s="105" t="s">
        <v>119</v>
      </c>
      <c r="E33" s="103" t="s">
        <v>1363</v>
      </c>
      <c r="F33" s="103" t="s">
        <v>2002</v>
      </c>
      <c r="G33" s="106">
        <v>115000</v>
      </c>
      <c r="H33" s="106">
        <v>155000</v>
      </c>
      <c r="I33" s="106">
        <v>200000</v>
      </c>
      <c r="J33" s="107">
        <v>3</v>
      </c>
      <c r="K33" s="108"/>
    </row>
    <row r="34" spans="1:11" s="103" customFormat="1" ht="21.75" customHeight="1" x14ac:dyDescent="0.25">
      <c r="A34" s="103" t="s">
        <v>245</v>
      </c>
      <c r="B34" s="103" t="s">
        <v>500</v>
      </c>
      <c r="C34" s="105" t="s">
        <v>122</v>
      </c>
      <c r="E34" s="103" t="s">
        <v>1363</v>
      </c>
      <c r="F34" s="103" t="s">
        <v>1892</v>
      </c>
      <c r="G34" s="106">
        <v>115000</v>
      </c>
      <c r="H34" s="106">
        <v>155000</v>
      </c>
      <c r="I34" s="106">
        <v>200000</v>
      </c>
      <c r="J34" s="107">
        <v>5</v>
      </c>
      <c r="K34" s="108"/>
    </row>
    <row r="35" spans="1:11" s="103" customFormat="1" ht="21.75" customHeight="1" x14ac:dyDescent="0.25">
      <c r="A35" s="103" t="s">
        <v>183</v>
      </c>
      <c r="B35" s="103" t="s">
        <v>1893</v>
      </c>
      <c r="C35" s="105" t="s">
        <v>1364</v>
      </c>
      <c r="E35" s="103" t="s">
        <v>1363</v>
      </c>
      <c r="F35" s="103" t="s">
        <v>2007</v>
      </c>
      <c r="G35" s="106">
        <v>120000</v>
      </c>
      <c r="H35" s="106">
        <v>160000</v>
      </c>
      <c r="I35" s="106">
        <v>200000</v>
      </c>
      <c r="J35" s="107">
        <v>6</v>
      </c>
      <c r="K35" s="108" t="s">
        <v>2006</v>
      </c>
    </row>
    <row r="36" spans="1:11" s="103" customFormat="1" ht="21.75" customHeight="1" x14ac:dyDescent="0.25">
      <c r="A36" s="103" t="s">
        <v>195</v>
      </c>
      <c r="B36" s="103" t="s">
        <v>196</v>
      </c>
      <c r="C36" s="105"/>
      <c r="E36" s="103" t="s">
        <v>1363</v>
      </c>
      <c r="F36" s="103" t="s">
        <v>2002</v>
      </c>
      <c r="G36" s="106">
        <v>120000</v>
      </c>
      <c r="H36" s="106">
        <v>160000</v>
      </c>
      <c r="I36" s="106">
        <v>200000</v>
      </c>
      <c r="J36" s="107">
        <v>1</v>
      </c>
      <c r="K36" s="108"/>
    </row>
    <row r="37" spans="1:11" s="103" customFormat="1" ht="21.75" customHeight="1" x14ac:dyDescent="0.25">
      <c r="A37" s="103" t="s">
        <v>60</v>
      </c>
      <c r="B37" s="103" t="s">
        <v>1301</v>
      </c>
      <c r="C37" s="105" t="s">
        <v>1361</v>
      </c>
      <c r="E37" s="103" t="s">
        <v>1363</v>
      </c>
      <c r="F37" s="103" t="s">
        <v>1892</v>
      </c>
      <c r="G37" s="106">
        <v>120000</v>
      </c>
      <c r="H37" s="106">
        <v>160000</v>
      </c>
      <c r="I37" s="106">
        <v>200000</v>
      </c>
      <c r="J37" s="107">
        <v>7</v>
      </c>
      <c r="K37" s="108" t="s">
        <v>2005</v>
      </c>
    </row>
    <row r="38" spans="1:11" s="103" customFormat="1" ht="21.75" customHeight="1" x14ac:dyDescent="0.25">
      <c r="A38" s="103" t="s">
        <v>225</v>
      </c>
      <c r="B38" s="103" t="s">
        <v>778</v>
      </c>
      <c r="C38" s="105" t="s">
        <v>119</v>
      </c>
      <c r="E38" s="103" t="s">
        <v>1363</v>
      </c>
      <c r="F38" s="103" t="s">
        <v>1892</v>
      </c>
      <c r="G38" s="106">
        <v>125000</v>
      </c>
      <c r="H38" s="106">
        <v>165000</v>
      </c>
      <c r="I38" s="106">
        <v>205000</v>
      </c>
      <c r="J38" s="107">
        <v>4</v>
      </c>
      <c r="K38" s="108"/>
    </row>
    <row r="39" spans="1:11" s="103" customFormat="1" ht="21.75" customHeight="1" x14ac:dyDescent="0.25">
      <c r="A39" s="103" t="s">
        <v>245</v>
      </c>
      <c r="B39" s="103" t="s">
        <v>500</v>
      </c>
      <c r="C39" s="105"/>
      <c r="E39" s="103" t="s">
        <v>1365</v>
      </c>
      <c r="F39" s="103" t="s">
        <v>2002</v>
      </c>
      <c r="G39" s="106">
        <v>130000</v>
      </c>
      <c r="H39" s="106">
        <v>200000</v>
      </c>
      <c r="I39" s="106">
        <v>220000</v>
      </c>
      <c r="J39" s="107">
        <v>2</v>
      </c>
      <c r="K39" s="108"/>
    </row>
    <row r="40" spans="1:11" x14ac:dyDescent="0.25">
      <c r="A40" s="103" t="s">
        <v>195</v>
      </c>
      <c r="B40" s="103" t="s">
        <v>196</v>
      </c>
      <c r="E40" s="103" t="s">
        <v>1454</v>
      </c>
      <c r="F40" s="103" t="s">
        <v>1895</v>
      </c>
      <c r="J40" s="107">
        <v>1</v>
      </c>
    </row>
    <row r="41" spans="1:11" x14ac:dyDescent="0.25">
      <c r="E41" s="103" t="s">
        <v>1944</v>
      </c>
      <c r="J41" s="107">
        <v>1</v>
      </c>
    </row>
    <row r="46" spans="1:11" ht="18.75" x14ac:dyDescent="0.3">
      <c r="A46" s="115" t="s">
        <v>1894</v>
      </c>
      <c r="C46"/>
    </row>
    <row r="47" spans="1:11" x14ac:dyDescent="0.25">
      <c r="A47" s="9" t="s">
        <v>60</v>
      </c>
      <c r="B47" s="9" t="s">
        <v>1301</v>
      </c>
      <c r="C47" s="9">
        <v>1</v>
      </c>
    </row>
    <row r="48" spans="1:11" x14ac:dyDescent="0.25">
      <c r="A48" s="9" t="s">
        <v>60</v>
      </c>
      <c r="B48" s="9" t="s">
        <v>1347</v>
      </c>
      <c r="C48" s="9">
        <v>1</v>
      </c>
    </row>
    <row r="49" spans="1:3" x14ac:dyDescent="0.25">
      <c r="A49" s="9" t="s">
        <v>238</v>
      </c>
      <c r="B49" s="9" t="s">
        <v>1215</v>
      </c>
      <c r="C49" s="9">
        <v>1</v>
      </c>
    </row>
    <row r="50" spans="1:3" x14ac:dyDescent="0.25">
      <c r="A50" s="9" t="s">
        <v>144</v>
      </c>
      <c r="B50" s="9" t="s">
        <v>145</v>
      </c>
      <c r="C50" s="9">
        <v>1</v>
      </c>
    </row>
    <row r="51" spans="1:3" x14ac:dyDescent="0.25">
      <c r="C51"/>
    </row>
    <row r="52" spans="1:3" x14ac:dyDescent="0.25">
      <c r="C52"/>
    </row>
  </sheetData>
  <autoFilter ref="A7:L39" xr:uid="{00000000-0009-0000-0000-000003000000}"/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N26"/>
  <sheetViews>
    <sheetView topLeftCell="B26" zoomScaleNormal="100" workbookViewId="0">
      <selection activeCell="N24" sqref="N24"/>
    </sheetView>
  </sheetViews>
  <sheetFormatPr baseColWidth="10" defaultColWidth="10.7109375" defaultRowHeight="15" x14ac:dyDescent="0.25"/>
  <cols>
    <col min="1" max="1" width="18.7109375" hidden="1" customWidth="1"/>
    <col min="2" max="2" width="21.42578125" customWidth="1"/>
    <col min="3" max="3" width="11.42578125" style="1" customWidth="1"/>
    <col min="5" max="5" width="12.42578125" style="1" customWidth="1"/>
    <col min="6" max="6" width="16.85546875" customWidth="1"/>
    <col min="7" max="7" width="17" style="1" customWidth="1"/>
    <col min="8" max="8" width="14.42578125" style="1" customWidth="1"/>
    <col min="9" max="9" width="12.7109375" style="1" customWidth="1"/>
    <col min="10" max="11" width="11.42578125" style="1" customWidth="1"/>
    <col min="12" max="12" width="18.85546875" customWidth="1"/>
    <col min="13" max="13" width="32.85546875" customWidth="1"/>
  </cols>
  <sheetData>
    <row r="1" spans="1:14" ht="30" x14ac:dyDescent="0.25">
      <c r="A1" s="14" t="s">
        <v>1366</v>
      </c>
      <c r="B1" s="15" t="s">
        <v>1367</v>
      </c>
      <c r="C1" s="16" t="s">
        <v>1368</v>
      </c>
      <c r="D1" s="16" t="s">
        <v>1369</v>
      </c>
      <c r="E1" s="16" t="s">
        <v>1370</v>
      </c>
      <c r="F1" s="16" t="s">
        <v>1371</v>
      </c>
      <c r="G1" s="17" t="s">
        <v>1372</v>
      </c>
      <c r="H1" s="17" t="s">
        <v>1373</v>
      </c>
      <c r="I1" s="17" t="s">
        <v>8</v>
      </c>
      <c r="J1" s="18" t="s">
        <v>1374</v>
      </c>
      <c r="K1" s="19" t="s">
        <v>1375</v>
      </c>
      <c r="L1" s="20" t="s">
        <v>1376</v>
      </c>
      <c r="M1" s="21" t="s">
        <v>5</v>
      </c>
      <c r="N1" s="22" t="s">
        <v>1335</v>
      </c>
    </row>
    <row r="2" spans="1:14" ht="30" customHeight="1" x14ac:dyDescent="0.25">
      <c r="A2" s="23" t="s">
        <v>1377</v>
      </c>
      <c r="B2" s="24" t="s">
        <v>1378</v>
      </c>
      <c r="C2" s="25" t="s">
        <v>1379</v>
      </c>
      <c r="D2" s="25">
        <v>20</v>
      </c>
      <c r="E2" s="25">
        <v>3</v>
      </c>
      <c r="F2" s="25">
        <v>30</v>
      </c>
      <c r="G2" s="25">
        <f t="shared" ref="G2:G22" si="0">+E2*760+3000</f>
        <v>5280</v>
      </c>
      <c r="H2" s="25">
        <f t="shared" ref="H2:H22" si="1">+G2*1.19</f>
        <v>6283.2</v>
      </c>
      <c r="I2" s="26">
        <v>20000</v>
      </c>
      <c r="J2" s="27" t="s">
        <v>1380</v>
      </c>
      <c r="K2" s="9"/>
      <c r="L2" s="28"/>
      <c r="M2" s="29" t="s">
        <v>1588</v>
      </c>
      <c r="N2" s="28">
        <v>19</v>
      </c>
    </row>
    <row r="3" spans="1:14" ht="30" customHeight="1" x14ac:dyDescent="0.25">
      <c r="A3" s="30" t="s">
        <v>1381</v>
      </c>
      <c r="B3" s="31" t="s">
        <v>1382</v>
      </c>
      <c r="C3" s="9" t="s">
        <v>1383</v>
      </c>
      <c r="D3" s="116">
        <v>3</v>
      </c>
      <c r="E3" s="9">
        <v>13.5</v>
      </c>
      <c r="F3" s="9">
        <v>67.5</v>
      </c>
      <c r="G3" s="9">
        <f t="shared" si="0"/>
        <v>13260</v>
      </c>
      <c r="H3" s="9">
        <f t="shared" si="1"/>
        <v>15779.4</v>
      </c>
      <c r="I3" s="32">
        <v>40000</v>
      </c>
      <c r="J3" s="33" t="s">
        <v>1384</v>
      </c>
      <c r="K3" s="9" t="s">
        <v>1385</v>
      </c>
      <c r="L3" s="28" t="s">
        <v>1386</v>
      </c>
      <c r="M3" s="29" t="s">
        <v>1975</v>
      </c>
      <c r="N3" s="28"/>
    </row>
    <row r="4" spans="1:14" ht="30" customHeight="1" x14ac:dyDescent="0.25">
      <c r="A4" s="30" t="s">
        <v>1387</v>
      </c>
      <c r="B4" s="31" t="s">
        <v>1388</v>
      </c>
      <c r="C4" s="9" t="s">
        <v>1379</v>
      </c>
      <c r="D4" s="9">
        <v>20</v>
      </c>
      <c r="E4" s="9">
        <v>6.5</v>
      </c>
      <c r="F4" s="9">
        <v>130</v>
      </c>
      <c r="G4" s="9">
        <f t="shared" si="0"/>
        <v>7940</v>
      </c>
      <c r="H4" s="9">
        <f t="shared" si="1"/>
        <v>9448.6</v>
      </c>
      <c r="I4" s="32">
        <v>25000</v>
      </c>
      <c r="J4" s="33" t="s">
        <v>1380</v>
      </c>
      <c r="K4" s="9"/>
      <c r="L4" s="28" t="s">
        <v>1972</v>
      </c>
      <c r="M4" s="29" t="s">
        <v>1389</v>
      </c>
      <c r="N4" s="28">
        <v>15</v>
      </c>
    </row>
    <row r="5" spans="1:14" ht="30" customHeight="1" x14ac:dyDescent="0.25">
      <c r="A5" s="30" t="s">
        <v>1390</v>
      </c>
      <c r="B5" s="31" t="s">
        <v>1391</v>
      </c>
      <c r="C5" s="9" t="s">
        <v>1379</v>
      </c>
      <c r="D5" s="9"/>
      <c r="E5" s="9">
        <v>15</v>
      </c>
      <c r="F5" s="9">
        <v>150</v>
      </c>
      <c r="G5" s="9">
        <f t="shared" si="0"/>
        <v>14400</v>
      </c>
      <c r="H5" s="9">
        <f t="shared" si="1"/>
        <v>17136</v>
      </c>
      <c r="I5" s="32">
        <v>40000</v>
      </c>
      <c r="J5" s="33" t="s">
        <v>1384</v>
      </c>
      <c r="K5" s="9" t="s">
        <v>1385</v>
      </c>
      <c r="L5" s="28" t="s">
        <v>1392</v>
      </c>
      <c r="M5" s="29" t="s">
        <v>1393</v>
      </c>
      <c r="N5" s="28">
        <v>8</v>
      </c>
    </row>
    <row r="6" spans="1:14" ht="30" customHeight="1" x14ac:dyDescent="0.25">
      <c r="A6" s="30" t="s">
        <v>1394</v>
      </c>
      <c r="B6" s="31" t="s">
        <v>1395</v>
      </c>
      <c r="C6" s="9" t="s">
        <v>1383</v>
      </c>
      <c r="D6" s="9">
        <v>20</v>
      </c>
      <c r="E6" s="9">
        <v>2</v>
      </c>
      <c r="F6" s="9">
        <v>40</v>
      </c>
      <c r="G6" s="9">
        <f t="shared" si="0"/>
        <v>4520</v>
      </c>
      <c r="H6" s="9">
        <f t="shared" si="1"/>
        <v>5378.8</v>
      </c>
      <c r="I6" s="32">
        <v>25000</v>
      </c>
      <c r="J6" s="33" t="s">
        <v>1384</v>
      </c>
      <c r="K6" s="9"/>
      <c r="L6" s="28"/>
      <c r="M6" s="29" t="s">
        <v>1587</v>
      </c>
      <c r="N6" s="28">
        <v>14</v>
      </c>
    </row>
    <row r="7" spans="1:14" ht="30" customHeight="1" x14ac:dyDescent="0.25">
      <c r="A7" s="30" t="s">
        <v>1396</v>
      </c>
      <c r="B7" s="31" t="s">
        <v>1397</v>
      </c>
      <c r="C7" s="9" t="s">
        <v>1383</v>
      </c>
      <c r="D7" s="9">
        <v>20</v>
      </c>
      <c r="E7" s="9">
        <v>2</v>
      </c>
      <c r="F7" s="9">
        <v>40</v>
      </c>
      <c r="G7" s="9">
        <f t="shared" si="0"/>
        <v>4520</v>
      </c>
      <c r="H7" s="9">
        <f t="shared" si="1"/>
        <v>5378.8</v>
      </c>
      <c r="I7" s="32">
        <v>25000</v>
      </c>
      <c r="J7" s="33" t="s">
        <v>1384</v>
      </c>
      <c r="K7" s="9"/>
      <c r="L7" s="28"/>
      <c r="M7" s="29"/>
      <c r="N7" s="28"/>
    </row>
    <row r="8" spans="1:14" ht="30" customHeight="1" x14ac:dyDescent="0.25">
      <c r="A8" s="30" t="s">
        <v>1398</v>
      </c>
      <c r="B8" s="31" t="s">
        <v>1399</v>
      </c>
      <c r="C8" s="9" t="s">
        <v>1379</v>
      </c>
      <c r="D8" s="9">
        <v>20</v>
      </c>
      <c r="E8" s="9">
        <v>1</v>
      </c>
      <c r="F8" s="9">
        <v>20</v>
      </c>
      <c r="G8" s="9">
        <f t="shared" si="0"/>
        <v>3760</v>
      </c>
      <c r="H8" s="9">
        <f t="shared" si="1"/>
        <v>4474.3999999999996</v>
      </c>
      <c r="I8" s="32">
        <v>20000</v>
      </c>
      <c r="J8" s="33" t="s">
        <v>1380</v>
      </c>
      <c r="K8" s="9"/>
      <c r="L8" s="28" t="s">
        <v>1400</v>
      </c>
      <c r="M8" s="29" t="s">
        <v>1389</v>
      </c>
      <c r="N8" s="28">
        <v>17</v>
      </c>
    </row>
    <row r="9" spans="1:14" ht="30" customHeight="1" x14ac:dyDescent="0.25">
      <c r="A9" s="30" t="s">
        <v>1401</v>
      </c>
      <c r="B9" s="31" t="s">
        <v>1402</v>
      </c>
      <c r="C9" s="9" t="s">
        <v>1379</v>
      </c>
      <c r="D9" s="9">
        <v>5</v>
      </c>
      <c r="E9" s="9">
        <v>10</v>
      </c>
      <c r="F9" s="9">
        <v>50</v>
      </c>
      <c r="G9" s="9">
        <f t="shared" si="0"/>
        <v>10600</v>
      </c>
      <c r="H9" s="9">
        <f t="shared" si="1"/>
        <v>12614</v>
      </c>
      <c r="I9" s="32">
        <v>35000</v>
      </c>
      <c r="J9" s="33" t="s">
        <v>1380</v>
      </c>
      <c r="K9" s="9"/>
      <c r="L9" s="28"/>
      <c r="M9" s="29"/>
      <c r="N9" s="28"/>
    </row>
    <row r="10" spans="1:14" ht="30" customHeight="1" x14ac:dyDescent="0.25">
      <c r="A10" s="30" t="s">
        <v>1403</v>
      </c>
      <c r="B10" s="31" t="s">
        <v>1404</v>
      </c>
      <c r="C10" s="9" t="s">
        <v>1379</v>
      </c>
      <c r="D10" s="9">
        <v>2</v>
      </c>
      <c r="E10" s="9">
        <v>12.5</v>
      </c>
      <c r="F10" s="9">
        <v>25</v>
      </c>
      <c r="G10" s="9">
        <f t="shared" si="0"/>
        <v>12500</v>
      </c>
      <c r="H10" s="9">
        <f t="shared" si="1"/>
        <v>14875</v>
      </c>
      <c r="I10" s="32">
        <v>45000</v>
      </c>
      <c r="J10" s="33" t="s">
        <v>1380</v>
      </c>
      <c r="K10" s="9"/>
      <c r="L10" s="28"/>
      <c r="M10" s="29"/>
      <c r="N10" s="28"/>
    </row>
    <row r="11" spans="1:14" ht="30" customHeight="1" x14ac:dyDescent="0.25">
      <c r="A11" s="30" t="s">
        <v>1405</v>
      </c>
      <c r="B11" s="31" t="s">
        <v>1406</v>
      </c>
      <c r="C11" s="9" t="s">
        <v>1379</v>
      </c>
      <c r="D11" s="9">
        <v>2</v>
      </c>
      <c r="E11" s="9">
        <v>60</v>
      </c>
      <c r="F11" s="9">
        <v>120</v>
      </c>
      <c r="G11" s="9">
        <f t="shared" si="0"/>
        <v>48600</v>
      </c>
      <c r="H11" s="9">
        <f t="shared" si="1"/>
        <v>57834</v>
      </c>
      <c r="I11" s="32">
        <v>120000</v>
      </c>
      <c r="J11" s="33" t="s">
        <v>1380</v>
      </c>
      <c r="K11" s="9"/>
      <c r="L11" s="28" t="s">
        <v>1407</v>
      </c>
      <c r="M11" s="29" t="s">
        <v>1408</v>
      </c>
      <c r="N11" s="28">
        <v>2</v>
      </c>
    </row>
    <row r="12" spans="1:14" ht="30" customHeight="1" x14ac:dyDescent="0.25">
      <c r="A12" s="30" t="s">
        <v>1409</v>
      </c>
      <c r="B12" s="31" t="s">
        <v>1404</v>
      </c>
      <c r="C12" s="9" t="s">
        <v>1379</v>
      </c>
      <c r="D12" s="9">
        <v>2</v>
      </c>
      <c r="E12" s="9">
        <v>17.75</v>
      </c>
      <c r="F12" s="9">
        <v>35</v>
      </c>
      <c r="G12" s="9">
        <f t="shared" si="0"/>
        <v>16490</v>
      </c>
      <c r="H12" s="9">
        <f t="shared" si="1"/>
        <v>19623.099999999999</v>
      </c>
      <c r="I12" s="32">
        <v>65000</v>
      </c>
      <c r="J12" s="33" t="s">
        <v>1380</v>
      </c>
      <c r="K12" s="9"/>
      <c r="L12" s="28" t="s">
        <v>1410</v>
      </c>
      <c r="M12" s="29"/>
      <c r="N12" s="28">
        <v>1</v>
      </c>
    </row>
    <row r="13" spans="1:14" ht="30" customHeight="1" x14ac:dyDescent="0.25">
      <c r="A13" s="30" t="s">
        <v>1411</v>
      </c>
      <c r="B13" s="31" t="s">
        <v>1406</v>
      </c>
      <c r="C13" s="9" t="s">
        <v>1379</v>
      </c>
      <c r="D13" s="9">
        <v>2</v>
      </c>
      <c r="E13" s="9">
        <v>75</v>
      </c>
      <c r="F13" s="9">
        <v>150</v>
      </c>
      <c r="G13" s="9">
        <f t="shared" si="0"/>
        <v>60000</v>
      </c>
      <c r="H13" s="9">
        <f t="shared" si="1"/>
        <v>71400</v>
      </c>
      <c r="I13" s="32">
        <v>160000</v>
      </c>
      <c r="J13" s="33" t="s">
        <v>1380</v>
      </c>
      <c r="K13" s="9"/>
      <c r="L13" s="28"/>
      <c r="M13" s="29"/>
      <c r="N13" s="28"/>
    </row>
    <row r="14" spans="1:14" ht="30" customHeight="1" x14ac:dyDescent="0.25">
      <c r="A14" s="30" t="s">
        <v>1412</v>
      </c>
      <c r="B14" s="31" t="s">
        <v>1413</v>
      </c>
      <c r="C14" s="9" t="s">
        <v>1379</v>
      </c>
      <c r="D14" s="9">
        <v>5</v>
      </c>
      <c r="E14" s="9">
        <v>8</v>
      </c>
      <c r="F14" s="9">
        <v>40</v>
      </c>
      <c r="G14" s="9">
        <f t="shared" si="0"/>
        <v>9080</v>
      </c>
      <c r="H14" s="9">
        <f t="shared" si="1"/>
        <v>10805.199999999999</v>
      </c>
      <c r="I14" s="32">
        <v>40000</v>
      </c>
      <c r="J14" s="33" t="s">
        <v>1380</v>
      </c>
      <c r="K14" s="9"/>
      <c r="L14" s="28"/>
      <c r="M14" s="29"/>
      <c r="N14" s="28"/>
    </row>
    <row r="15" spans="1:14" ht="30" customHeight="1" x14ac:dyDescent="0.25">
      <c r="A15" s="30" t="s">
        <v>1414</v>
      </c>
      <c r="B15" s="31" t="s">
        <v>1415</v>
      </c>
      <c r="C15" s="9" t="s">
        <v>1383</v>
      </c>
      <c r="D15" s="9">
        <v>10</v>
      </c>
      <c r="E15" s="9">
        <v>5</v>
      </c>
      <c r="F15" s="9">
        <v>50</v>
      </c>
      <c r="G15" s="9">
        <f t="shared" si="0"/>
        <v>6800</v>
      </c>
      <c r="H15" s="9">
        <f t="shared" si="1"/>
        <v>8092</v>
      </c>
      <c r="I15" s="32">
        <v>15000</v>
      </c>
      <c r="J15" s="33" t="s">
        <v>1384</v>
      </c>
      <c r="K15" s="9" t="s">
        <v>1416</v>
      </c>
      <c r="L15" s="34" t="s">
        <v>1417</v>
      </c>
      <c r="M15" s="29" t="s">
        <v>1418</v>
      </c>
      <c r="N15" s="28"/>
    </row>
    <row r="16" spans="1:14" ht="30" customHeight="1" x14ac:dyDescent="0.25">
      <c r="A16" s="30" t="s">
        <v>1419</v>
      </c>
      <c r="B16" s="31" t="s">
        <v>1420</v>
      </c>
      <c r="C16" s="9" t="s">
        <v>1379</v>
      </c>
      <c r="D16" s="9">
        <v>10</v>
      </c>
      <c r="E16" s="9">
        <v>2.75</v>
      </c>
      <c r="F16" s="9">
        <v>25</v>
      </c>
      <c r="G16" s="9">
        <f t="shared" si="0"/>
        <v>5090</v>
      </c>
      <c r="H16" s="9">
        <f t="shared" si="1"/>
        <v>6057.0999999999995</v>
      </c>
      <c r="I16" s="32">
        <v>35000</v>
      </c>
      <c r="J16" s="33" t="s">
        <v>1384</v>
      </c>
      <c r="K16" s="9" t="s">
        <v>1421</v>
      </c>
      <c r="L16" s="28"/>
      <c r="M16" s="29"/>
      <c r="N16" s="28"/>
    </row>
    <row r="17" spans="1:14" ht="30" customHeight="1" x14ac:dyDescent="0.25">
      <c r="A17" s="30" t="s">
        <v>1422</v>
      </c>
      <c r="B17" s="31" t="s">
        <v>1423</v>
      </c>
      <c r="C17" s="9" t="s">
        <v>1383</v>
      </c>
      <c r="D17" s="9">
        <v>10</v>
      </c>
      <c r="E17" s="9">
        <v>22</v>
      </c>
      <c r="F17" s="9">
        <v>110</v>
      </c>
      <c r="G17" s="9">
        <f t="shared" si="0"/>
        <v>19720</v>
      </c>
      <c r="H17" s="9">
        <f t="shared" si="1"/>
        <v>23466.799999999999</v>
      </c>
      <c r="I17" s="32">
        <v>45000</v>
      </c>
      <c r="J17" s="33" t="s">
        <v>1380</v>
      </c>
      <c r="K17" s="9"/>
      <c r="L17" s="28"/>
      <c r="M17" s="29"/>
      <c r="N17" s="28">
        <v>1</v>
      </c>
    </row>
    <row r="18" spans="1:14" ht="30" customHeight="1" x14ac:dyDescent="0.25">
      <c r="A18" s="30" t="s">
        <v>1424</v>
      </c>
      <c r="B18" s="31" t="s">
        <v>1425</v>
      </c>
      <c r="C18" s="9" t="s">
        <v>1383</v>
      </c>
      <c r="D18" s="9">
        <v>5</v>
      </c>
      <c r="E18" s="9">
        <v>2</v>
      </c>
      <c r="F18" s="9">
        <v>10</v>
      </c>
      <c r="G18" s="9">
        <f t="shared" si="0"/>
        <v>4520</v>
      </c>
      <c r="H18" s="9">
        <f t="shared" si="1"/>
        <v>5378.8</v>
      </c>
      <c r="I18" s="32">
        <v>25000</v>
      </c>
      <c r="J18" s="33" t="s">
        <v>1380</v>
      </c>
      <c r="K18" s="9"/>
      <c r="L18" s="28"/>
      <c r="M18" s="29" t="s">
        <v>1586</v>
      </c>
      <c r="N18" s="28"/>
    </row>
    <row r="19" spans="1:14" ht="30" customHeight="1" x14ac:dyDescent="0.25">
      <c r="A19" s="30" t="s">
        <v>1426</v>
      </c>
      <c r="B19" s="31" t="s">
        <v>1427</v>
      </c>
      <c r="C19" s="9" t="s">
        <v>1379</v>
      </c>
      <c r="D19" s="9">
        <v>10</v>
      </c>
      <c r="E19" s="9">
        <v>5</v>
      </c>
      <c r="F19" s="9">
        <v>50</v>
      </c>
      <c r="G19" s="9">
        <f t="shared" si="0"/>
        <v>6800</v>
      </c>
      <c r="H19" s="9">
        <f t="shared" si="1"/>
        <v>8092</v>
      </c>
      <c r="I19" s="32">
        <v>25000</v>
      </c>
      <c r="J19" s="33" t="s">
        <v>1380</v>
      </c>
      <c r="K19" s="9"/>
      <c r="L19" s="28"/>
      <c r="M19" s="29"/>
      <c r="N19" s="28"/>
    </row>
    <row r="20" spans="1:14" ht="30" customHeight="1" x14ac:dyDescent="0.25">
      <c r="A20" s="30" t="s">
        <v>1428</v>
      </c>
      <c r="B20" s="31" t="s">
        <v>1429</v>
      </c>
      <c r="C20" s="9" t="s">
        <v>1379</v>
      </c>
      <c r="D20" s="9">
        <v>10</v>
      </c>
      <c r="E20" s="9">
        <v>15</v>
      </c>
      <c r="F20" s="9">
        <v>150</v>
      </c>
      <c r="G20" s="9">
        <f t="shared" si="0"/>
        <v>14400</v>
      </c>
      <c r="H20" s="9">
        <f t="shared" si="1"/>
        <v>17136</v>
      </c>
      <c r="I20" s="32">
        <v>25000</v>
      </c>
      <c r="J20" s="33" t="s">
        <v>1380</v>
      </c>
      <c r="K20" s="9"/>
      <c r="L20" s="28"/>
      <c r="M20" s="35" t="s">
        <v>1430</v>
      </c>
      <c r="N20" s="28">
        <v>8</v>
      </c>
    </row>
    <row r="21" spans="1:14" ht="30" customHeight="1" x14ac:dyDescent="0.25">
      <c r="A21" s="30"/>
      <c r="B21" s="31" t="s">
        <v>1431</v>
      </c>
      <c r="C21" s="9"/>
      <c r="D21" s="9">
        <v>5</v>
      </c>
      <c r="E21" s="9">
        <v>100</v>
      </c>
      <c r="F21" s="9">
        <f>+E21*D21</f>
        <v>500</v>
      </c>
      <c r="G21" s="9">
        <f t="shared" si="0"/>
        <v>79000</v>
      </c>
      <c r="H21" s="9">
        <f t="shared" si="1"/>
        <v>94010</v>
      </c>
      <c r="I21" s="32">
        <v>195000</v>
      </c>
      <c r="J21" s="33" t="s">
        <v>1380</v>
      </c>
      <c r="K21" s="9"/>
      <c r="L21" s="28"/>
      <c r="M21" s="29"/>
      <c r="N21" s="28"/>
    </row>
    <row r="22" spans="1:14" ht="45" customHeight="1" x14ac:dyDescent="0.25">
      <c r="A22" s="30"/>
      <c r="B22" s="31" t="s">
        <v>1432</v>
      </c>
      <c r="C22" s="9"/>
      <c r="D22" s="9">
        <v>5</v>
      </c>
      <c r="E22" s="9">
        <v>180</v>
      </c>
      <c r="F22" s="9">
        <f>+E22*D22</f>
        <v>900</v>
      </c>
      <c r="G22" s="9">
        <f t="shared" si="0"/>
        <v>139800</v>
      </c>
      <c r="H22" s="9">
        <f t="shared" si="1"/>
        <v>166362</v>
      </c>
      <c r="I22" s="32">
        <v>270000</v>
      </c>
      <c r="J22" s="33" t="s">
        <v>1380</v>
      </c>
      <c r="K22" s="9"/>
      <c r="L22" s="34" t="s">
        <v>1433</v>
      </c>
      <c r="M22" s="29"/>
      <c r="N22" s="28">
        <v>3</v>
      </c>
    </row>
    <row r="23" spans="1:14" ht="30" customHeight="1" x14ac:dyDescent="0.25">
      <c r="A23" s="36"/>
      <c r="B23" s="37" t="s">
        <v>1434</v>
      </c>
      <c r="C23" s="38"/>
      <c r="D23" s="38">
        <v>10</v>
      </c>
      <c r="E23" s="38"/>
      <c r="F23" s="38"/>
      <c r="G23" s="38"/>
      <c r="H23" s="38"/>
      <c r="I23" s="39">
        <v>10000</v>
      </c>
      <c r="J23" s="40" t="s">
        <v>1380</v>
      </c>
      <c r="K23" s="9"/>
      <c r="L23" s="28" t="s">
        <v>1435</v>
      </c>
      <c r="M23" s="29" t="s">
        <v>1436</v>
      </c>
      <c r="N23" s="28">
        <v>6</v>
      </c>
    </row>
    <row r="24" spans="1:14" ht="30" customHeight="1" x14ac:dyDescent="0.25">
      <c r="A24" s="36"/>
      <c r="B24" s="37" t="s">
        <v>1438</v>
      </c>
      <c r="C24" s="38" t="s">
        <v>1439</v>
      </c>
      <c r="D24" s="38">
        <v>10</v>
      </c>
      <c r="E24" s="38"/>
      <c r="F24" s="38"/>
      <c r="G24" s="38"/>
      <c r="H24" s="38"/>
      <c r="I24" s="39">
        <v>30000</v>
      </c>
      <c r="J24" s="40" t="s">
        <v>1380</v>
      </c>
      <c r="K24" s="9"/>
      <c r="L24" s="28"/>
      <c r="M24" s="29" t="s">
        <v>1585</v>
      </c>
      <c r="N24" s="28">
        <v>6</v>
      </c>
    </row>
    <row r="25" spans="1:14" ht="30" customHeight="1" x14ac:dyDescent="0.25">
      <c r="A25" s="36"/>
      <c r="B25" s="37" t="s">
        <v>1440</v>
      </c>
      <c r="C25" s="38" t="s">
        <v>1437</v>
      </c>
      <c r="D25" s="38">
        <v>11</v>
      </c>
      <c r="E25" s="38"/>
      <c r="F25" s="38"/>
      <c r="G25" s="38"/>
      <c r="H25" s="38"/>
      <c r="I25" s="39"/>
      <c r="J25" s="40"/>
      <c r="K25" s="9"/>
      <c r="L25" s="28"/>
      <c r="M25" s="29"/>
      <c r="N25" s="28"/>
    </row>
    <row r="26" spans="1:14" ht="30" customHeight="1" x14ac:dyDescent="0.25">
      <c r="A26" s="41"/>
      <c r="B26" s="42" t="s">
        <v>1441</v>
      </c>
      <c r="C26" s="43"/>
      <c r="D26" s="43">
        <v>10</v>
      </c>
      <c r="E26" s="43">
        <v>30</v>
      </c>
      <c r="F26" s="43">
        <f>+E26*D26</f>
        <v>300</v>
      </c>
      <c r="G26" s="43">
        <f>+E26*760+3000</f>
        <v>25800</v>
      </c>
      <c r="H26" s="43">
        <f>+G26*1.19</f>
        <v>30702</v>
      </c>
      <c r="I26" s="44">
        <v>50000</v>
      </c>
      <c r="J26" s="45" t="s">
        <v>1380</v>
      </c>
      <c r="K26" s="9"/>
      <c r="L26" s="28"/>
      <c r="M26" s="29"/>
      <c r="N26" s="28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topLeftCell="A15" zoomScaleNormal="100" workbookViewId="0">
      <selection sqref="A1:I1"/>
    </sheetView>
  </sheetViews>
  <sheetFormatPr baseColWidth="10" defaultColWidth="8" defaultRowHeight="12.75" x14ac:dyDescent="0.25"/>
  <cols>
    <col min="1" max="1" width="10.7109375" style="51" customWidth="1"/>
    <col min="2" max="2" width="11.5703125" style="51" customWidth="1"/>
    <col min="3" max="3" width="16.140625" style="51" customWidth="1"/>
    <col min="4" max="4" width="8.42578125" style="51" customWidth="1"/>
    <col min="5" max="5" width="2.28515625" style="51" customWidth="1"/>
    <col min="6" max="6" width="9.140625" style="51" customWidth="1"/>
    <col min="7" max="7" width="19.28515625" style="51" customWidth="1"/>
    <col min="8" max="8" width="10.7109375" style="51" customWidth="1"/>
    <col min="9" max="9" width="5.7109375" style="51" customWidth="1"/>
    <col min="10" max="16384" width="8" style="51"/>
  </cols>
  <sheetData>
    <row r="1" spans="1:9" ht="12.75" customHeight="1" x14ac:dyDescent="0.25">
      <c r="A1" s="194" t="s">
        <v>1455</v>
      </c>
      <c r="B1" s="194"/>
      <c r="C1" s="194"/>
      <c r="D1" s="194"/>
      <c r="E1" s="194"/>
      <c r="F1" s="194"/>
      <c r="G1" s="194"/>
      <c r="H1" s="194"/>
      <c r="I1" s="194"/>
    </row>
    <row r="2" spans="1:9" ht="28.5" customHeight="1" x14ac:dyDescent="0.25">
      <c r="A2" s="195"/>
      <c r="B2" s="195"/>
      <c r="C2" s="195"/>
      <c r="D2" s="52" t="s">
        <v>1456</v>
      </c>
      <c r="E2" s="53"/>
      <c r="F2" s="196" t="s">
        <v>1457</v>
      </c>
      <c r="G2" s="196"/>
      <c r="H2" s="54"/>
      <c r="I2" s="54"/>
    </row>
    <row r="3" spans="1:9" ht="10.5" customHeight="1" x14ac:dyDescent="0.2">
      <c r="A3" s="55" t="s">
        <v>1458</v>
      </c>
      <c r="B3" s="56"/>
      <c r="C3" s="56"/>
      <c r="D3" s="56"/>
      <c r="E3" s="57"/>
      <c r="F3" s="192" t="s">
        <v>1459</v>
      </c>
      <c r="G3" s="192"/>
      <c r="H3" s="56"/>
      <c r="I3" s="56"/>
    </row>
    <row r="4" spans="1:9" ht="9.75" customHeight="1" x14ac:dyDescent="0.2">
      <c r="A4" s="190" t="s">
        <v>1460</v>
      </c>
      <c r="B4" s="190"/>
      <c r="C4" s="190"/>
      <c r="D4" s="59"/>
      <c r="E4" s="60"/>
      <c r="F4" s="190" t="s">
        <v>1461</v>
      </c>
      <c r="G4" s="190"/>
      <c r="H4" s="59"/>
      <c r="I4" s="59"/>
    </row>
    <row r="5" spans="1:9" ht="9.75" customHeight="1" x14ac:dyDescent="0.2">
      <c r="A5" s="58" t="s">
        <v>1462</v>
      </c>
      <c r="B5" s="59"/>
      <c r="C5" s="59"/>
      <c r="D5" s="59"/>
      <c r="E5" s="60"/>
      <c r="F5" s="189" t="s">
        <v>1463</v>
      </c>
      <c r="G5" s="189"/>
      <c r="H5" s="62"/>
      <c r="I5" s="62"/>
    </row>
    <row r="6" spans="1:9" ht="9.75" customHeight="1" x14ac:dyDescent="0.2">
      <c r="A6" s="190" t="s">
        <v>1464</v>
      </c>
      <c r="B6" s="190"/>
      <c r="C6" s="191" t="s">
        <v>1465</v>
      </c>
      <c r="D6" s="191"/>
      <c r="E6" s="60"/>
      <c r="F6" s="192" t="s">
        <v>1466</v>
      </c>
      <c r="G6" s="192"/>
      <c r="H6" s="56"/>
      <c r="I6" s="56"/>
    </row>
    <row r="7" spans="1:9" ht="9.75" customHeight="1" x14ac:dyDescent="0.2">
      <c r="A7" s="190" t="s">
        <v>1467</v>
      </c>
      <c r="B7" s="190"/>
      <c r="C7" s="193"/>
      <c r="D7" s="193"/>
      <c r="E7" s="60"/>
      <c r="F7" s="190" t="s">
        <v>1468</v>
      </c>
      <c r="G7" s="190"/>
      <c r="H7" s="59"/>
      <c r="I7" s="59"/>
    </row>
    <row r="8" spans="1:9" ht="10.5" customHeight="1" x14ac:dyDescent="0.2">
      <c r="A8" s="184"/>
      <c r="B8" s="184"/>
      <c r="C8" s="185"/>
      <c r="D8" s="185"/>
      <c r="E8" s="63"/>
      <c r="F8" s="61" t="s">
        <v>1469</v>
      </c>
      <c r="G8" s="62"/>
      <c r="H8" s="62"/>
      <c r="I8" s="62"/>
    </row>
    <row r="9" spans="1:9" ht="10.5" customHeight="1" x14ac:dyDescent="0.2">
      <c r="A9" s="55" t="s">
        <v>1470</v>
      </c>
      <c r="B9" s="56"/>
      <c r="C9" s="56"/>
      <c r="D9" s="56"/>
      <c r="E9" s="57"/>
      <c r="F9" s="55" t="s">
        <v>1471</v>
      </c>
      <c r="G9" s="64" t="s">
        <v>1472</v>
      </c>
      <c r="H9" s="56"/>
      <c r="I9" s="56"/>
    </row>
    <row r="10" spans="1:9" ht="25.5" customHeight="1" x14ac:dyDescent="0.25">
      <c r="A10" s="65" t="s">
        <v>1473</v>
      </c>
      <c r="B10" s="66" t="s">
        <v>1474</v>
      </c>
      <c r="C10" s="186" t="s">
        <v>1475</v>
      </c>
      <c r="D10" s="186"/>
      <c r="E10" s="186"/>
      <c r="F10" s="186"/>
      <c r="G10" s="66" t="s">
        <v>1476</v>
      </c>
      <c r="H10" s="66" t="s">
        <v>1477</v>
      </c>
      <c r="I10" s="67" t="s">
        <v>1478</v>
      </c>
    </row>
    <row r="11" spans="1:9" ht="57.75" customHeight="1" x14ac:dyDescent="0.25">
      <c r="A11" s="68">
        <v>3860</v>
      </c>
      <c r="B11" s="69" t="s">
        <v>1479</v>
      </c>
      <c r="C11" s="187" t="s">
        <v>1480</v>
      </c>
      <c r="D11" s="187"/>
      <c r="E11" s="187"/>
      <c r="F11" s="187"/>
      <c r="G11" s="70"/>
      <c r="H11" s="69" t="s">
        <v>1481</v>
      </c>
      <c r="I11" s="71">
        <v>10</v>
      </c>
    </row>
    <row r="12" spans="1:9" ht="57.75" customHeight="1" x14ac:dyDescent="0.25">
      <c r="A12" s="72">
        <v>2798</v>
      </c>
      <c r="B12" s="73" t="s">
        <v>1482</v>
      </c>
      <c r="C12" s="188" t="s">
        <v>1483</v>
      </c>
      <c r="D12" s="188"/>
      <c r="E12" s="188"/>
      <c r="F12" s="188"/>
      <c r="G12" s="74"/>
      <c r="H12" s="73" t="s">
        <v>1481</v>
      </c>
      <c r="I12" s="75">
        <v>10</v>
      </c>
    </row>
    <row r="13" spans="1:9" ht="57.75" customHeight="1" x14ac:dyDescent="0.25">
      <c r="A13" s="68">
        <v>6360</v>
      </c>
      <c r="B13" s="76">
        <v>166</v>
      </c>
      <c r="C13" s="179" t="s">
        <v>1484</v>
      </c>
      <c r="D13" s="179"/>
      <c r="E13" s="179"/>
      <c r="F13" s="179"/>
      <c r="G13" s="70"/>
      <c r="H13" s="69" t="s">
        <v>1485</v>
      </c>
      <c r="I13" s="71">
        <v>10</v>
      </c>
    </row>
    <row r="14" spans="1:9" ht="57.75" customHeight="1" x14ac:dyDescent="0.25">
      <c r="A14" s="72">
        <v>3150</v>
      </c>
      <c r="B14" s="77">
        <v>740</v>
      </c>
      <c r="C14" s="180" t="s">
        <v>1486</v>
      </c>
      <c r="D14" s="180"/>
      <c r="E14" s="180"/>
      <c r="F14" s="180"/>
      <c r="G14" s="74"/>
      <c r="H14" s="73" t="s">
        <v>1485</v>
      </c>
      <c r="I14" s="75">
        <v>10</v>
      </c>
    </row>
    <row r="15" spans="1:9" ht="57.75" customHeight="1" x14ac:dyDescent="0.25">
      <c r="A15" s="68">
        <v>2798</v>
      </c>
      <c r="B15" s="69" t="s">
        <v>1482</v>
      </c>
      <c r="C15" s="181" t="s">
        <v>1487</v>
      </c>
      <c r="D15" s="181"/>
      <c r="E15" s="181"/>
      <c r="F15" s="181"/>
      <c r="G15" s="70"/>
      <c r="H15" s="69" t="s">
        <v>1481</v>
      </c>
      <c r="I15" s="71">
        <v>10</v>
      </c>
    </row>
    <row r="16" spans="1:9" ht="57.75" customHeight="1" x14ac:dyDescent="0.25">
      <c r="A16" s="72">
        <v>2281</v>
      </c>
      <c r="B16" s="73" t="s">
        <v>1488</v>
      </c>
      <c r="C16" s="182" t="s">
        <v>1489</v>
      </c>
      <c r="D16" s="182"/>
      <c r="E16" s="182"/>
      <c r="F16" s="182"/>
      <c r="G16" s="74"/>
      <c r="H16" s="73" t="s">
        <v>1481</v>
      </c>
      <c r="I16" s="75">
        <v>10</v>
      </c>
    </row>
    <row r="17" spans="1:9" ht="57.75" customHeight="1" x14ac:dyDescent="0.25">
      <c r="A17" s="68">
        <v>2280</v>
      </c>
      <c r="B17" s="69" t="s">
        <v>1490</v>
      </c>
      <c r="C17" s="183" t="s">
        <v>1491</v>
      </c>
      <c r="D17" s="183"/>
      <c r="E17" s="183"/>
      <c r="F17" s="183"/>
      <c r="G17" s="70"/>
      <c r="H17" s="69" t="s">
        <v>1481</v>
      </c>
      <c r="I17" s="71">
        <v>10</v>
      </c>
    </row>
    <row r="18" spans="1:9" ht="57.75" customHeight="1" x14ac:dyDescent="0.25">
      <c r="A18" s="72">
        <v>2076</v>
      </c>
      <c r="B18" s="73" t="s">
        <v>1492</v>
      </c>
      <c r="C18" s="177" t="s">
        <v>1493</v>
      </c>
      <c r="D18" s="177"/>
      <c r="E18" s="177"/>
      <c r="F18" s="177"/>
      <c r="G18" s="74"/>
      <c r="H18" s="73" t="s">
        <v>1481</v>
      </c>
      <c r="I18" s="75">
        <v>10</v>
      </c>
    </row>
    <row r="19" spans="1:9" ht="57.75" customHeight="1" x14ac:dyDescent="0.25">
      <c r="A19" s="68">
        <v>2867</v>
      </c>
      <c r="B19" s="76">
        <v>162</v>
      </c>
      <c r="C19" s="178" t="s">
        <v>1494</v>
      </c>
      <c r="D19" s="178"/>
      <c r="E19" s="178"/>
      <c r="F19" s="178"/>
      <c r="G19" s="70"/>
      <c r="H19" s="69" t="s">
        <v>1485</v>
      </c>
      <c r="I19" s="71">
        <v>10</v>
      </c>
    </row>
  </sheetData>
  <mergeCells count="25">
    <mergeCell ref="A1:I1"/>
    <mergeCell ref="A2:C2"/>
    <mergeCell ref="F2:G2"/>
    <mergeCell ref="F3:G3"/>
    <mergeCell ref="A4:C4"/>
    <mergeCell ref="F4:G4"/>
    <mergeCell ref="F5:G5"/>
    <mergeCell ref="A6:B6"/>
    <mergeCell ref="C6:D6"/>
    <mergeCell ref="F6:G6"/>
    <mergeCell ref="A7:B7"/>
    <mergeCell ref="C7:D7"/>
    <mergeCell ref="F7:G7"/>
    <mergeCell ref="A8:B8"/>
    <mergeCell ref="C8:D8"/>
    <mergeCell ref="C10:F10"/>
    <mergeCell ref="C11:F11"/>
    <mergeCell ref="C12:F12"/>
    <mergeCell ref="C18:F18"/>
    <mergeCell ref="C19:F19"/>
    <mergeCell ref="C13:F13"/>
    <mergeCell ref="C14:F14"/>
    <mergeCell ref="C15:F15"/>
    <mergeCell ref="C16:F16"/>
    <mergeCell ref="C17:F17"/>
  </mergeCells>
  <hyperlinks>
    <hyperlink ref="G9" r:id="rId1" xr:uid="{00000000-0004-0000-0B00-000000000000}"/>
  </hyperlinks>
  <pageMargins left="0.7" right="0.7" top="0.75" bottom="0.75" header="0.511811023622047" footer="0.511811023622047"/>
  <pageSetup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9" zoomScaleNormal="100" workbookViewId="0"/>
  </sheetViews>
  <sheetFormatPr baseColWidth="10" defaultColWidth="10.7109375" defaultRowHeight="15" x14ac:dyDescent="0.25"/>
  <sheetData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4:F761"/>
  <sheetViews>
    <sheetView zoomScaleNormal="100" workbookViewId="0"/>
  </sheetViews>
  <sheetFormatPr baseColWidth="10" defaultColWidth="10.7109375" defaultRowHeight="15" x14ac:dyDescent="0.25"/>
  <cols>
    <col min="2" max="2" width="44.140625" style="1" customWidth="1"/>
    <col min="3" max="3" width="23.42578125" style="1" customWidth="1"/>
    <col min="4" max="4" width="40.28515625" style="1" customWidth="1"/>
    <col min="5" max="5" width="18.28515625" style="1" customWidth="1"/>
    <col min="6" max="6" width="64.7109375" style="1" customWidth="1"/>
  </cols>
  <sheetData>
    <row r="4" spans="2:6" x14ac:dyDescent="0.25">
      <c r="B4" s="10"/>
    </row>
    <row r="5" spans="2:6" x14ac:dyDescent="0.25">
      <c r="B5" s="15" t="s">
        <v>1442</v>
      </c>
      <c r="C5" s="16" t="s">
        <v>1443</v>
      </c>
      <c r="D5" s="16" t="s">
        <v>1444</v>
      </c>
      <c r="E5" s="18" t="s">
        <v>1495</v>
      </c>
      <c r="F5" s="78" t="s">
        <v>1445</v>
      </c>
    </row>
    <row r="6" spans="2:6" x14ac:dyDescent="0.25">
      <c r="B6" s="79" t="s">
        <v>1496</v>
      </c>
      <c r="C6" s="25">
        <v>936846200</v>
      </c>
      <c r="D6" s="25" t="s">
        <v>1497</v>
      </c>
      <c r="E6" s="27" t="s">
        <v>1498</v>
      </c>
      <c r="F6" s="80" t="s">
        <v>1499</v>
      </c>
    </row>
    <row r="7" spans="2:6" x14ac:dyDescent="0.25">
      <c r="B7" s="81" t="s">
        <v>1500</v>
      </c>
      <c r="C7" s="9">
        <v>958592824</v>
      </c>
      <c r="D7" s="9" t="s">
        <v>1501</v>
      </c>
      <c r="E7" s="33" t="s">
        <v>1498</v>
      </c>
      <c r="F7" s="47"/>
    </row>
    <row r="8" spans="2:6" x14ac:dyDescent="0.25">
      <c r="B8" s="81" t="s">
        <v>1502</v>
      </c>
      <c r="C8" s="9" t="s">
        <v>1503</v>
      </c>
      <c r="D8" s="9" t="s">
        <v>1504</v>
      </c>
      <c r="E8" s="33" t="s">
        <v>1498</v>
      </c>
      <c r="F8" s="47" t="s">
        <v>1505</v>
      </c>
    </row>
    <row r="9" spans="2:6" x14ac:dyDescent="0.25">
      <c r="B9" s="81" t="s">
        <v>1506</v>
      </c>
      <c r="C9" s="9" t="s">
        <v>1507</v>
      </c>
      <c r="D9" s="9" t="s">
        <v>1508</v>
      </c>
      <c r="E9" s="33" t="s">
        <v>1509</v>
      </c>
      <c r="F9" s="47"/>
    </row>
    <row r="10" spans="2:6" x14ac:dyDescent="0.25">
      <c r="B10" s="81" t="s">
        <v>1510</v>
      </c>
      <c r="C10" s="9">
        <v>226348494</v>
      </c>
      <c r="D10" s="9" t="s">
        <v>1511</v>
      </c>
      <c r="E10" s="33" t="s">
        <v>1509</v>
      </c>
      <c r="F10" s="47"/>
    </row>
    <row r="11" spans="2:6" x14ac:dyDescent="0.25">
      <c r="B11" s="81" t="s">
        <v>1512</v>
      </c>
      <c r="C11" s="9">
        <v>948198335</v>
      </c>
      <c r="D11" s="9" t="s">
        <v>1513</v>
      </c>
      <c r="E11" s="33" t="s">
        <v>1509</v>
      </c>
      <c r="F11" s="47"/>
    </row>
    <row r="12" spans="2:6" x14ac:dyDescent="0.25">
      <c r="B12" s="81" t="s">
        <v>1514</v>
      </c>
      <c r="C12" s="9">
        <v>942540905</v>
      </c>
      <c r="D12" s="9" t="s">
        <v>1515</v>
      </c>
      <c r="E12" s="33" t="s">
        <v>1498</v>
      </c>
      <c r="F12" s="47" t="s">
        <v>1516</v>
      </c>
    </row>
    <row r="13" spans="2:6" x14ac:dyDescent="0.25">
      <c r="B13" s="81" t="s">
        <v>1517</v>
      </c>
      <c r="C13" s="9">
        <v>979970093</v>
      </c>
      <c r="D13" s="9" t="s">
        <v>1518</v>
      </c>
      <c r="E13" s="33" t="s">
        <v>1509</v>
      </c>
      <c r="F13" s="47"/>
    </row>
    <row r="14" spans="2:6" x14ac:dyDescent="0.25">
      <c r="B14" s="81"/>
      <c r="C14" s="9"/>
      <c r="D14" s="9"/>
      <c r="E14" s="33"/>
      <c r="F14" s="47"/>
    </row>
    <row r="15" spans="2:6" x14ac:dyDescent="0.25">
      <c r="B15" s="81" t="s">
        <v>1519</v>
      </c>
      <c r="C15" s="9">
        <v>978374829</v>
      </c>
      <c r="D15" s="9" t="s">
        <v>1520</v>
      </c>
      <c r="E15" s="33"/>
      <c r="F15" s="47" t="s">
        <v>1521</v>
      </c>
    </row>
    <row r="16" spans="2:6" ht="30" x14ac:dyDescent="0.25">
      <c r="B16" s="81" t="s">
        <v>1522</v>
      </c>
      <c r="C16" s="9">
        <v>954575210</v>
      </c>
      <c r="D16" s="9" t="s">
        <v>1523</v>
      </c>
      <c r="E16" s="33" t="s">
        <v>1509</v>
      </c>
      <c r="F16" s="82" t="s">
        <v>1524</v>
      </c>
    </row>
    <row r="17" spans="2:6" x14ac:dyDescent="0.25">
      <c r="B17" s="81" t="s">
        <v>1525</v>
      </c>
      <c r="C17" s="9">
        <v>950034639</v>
      </c>
      <c r="D17" s="9" t="s">
        <v>1523</v>
      </c>
      <c r="E17" s="33" t="s">
        <v>1509</v>
      </c>
      <c r="F17" s="47" t="s">
        <v>1526</v>
      </c>
    </row>
    <row r="18" spans="2:6" x14ac:dyDescent="0.25">
      <c r="B18" s="81" t="s">
        <v>1527</v>
      </c>
      <c r="C18" s="9"/>
      <c r="D18" s="9"/>
      <c r="E18" s="33"/>
      <c r="F18" s="47"/>
    </row>
    <row r="19" spans="2:6" x14ac:dyDescent="0.25">
      <c r="B19" s="81" t="s">
        <v>1528</v>
      </c>
      <c r="C19" s="9">
        <v>973476669</v>
      </c>
      <c r="D19" s="9" t="s">
        <v>1447</v>
      </c>
      <c r="E19" s="33"/>
      <c r="F19" s="47" t="s">
        <v>1529</v>
      </c>
    </row>
    <row r="20" spans="2:6" x14ac:dyDescent="0.25">
      <c r="B20" s="81" t="s">
        <v>1530</v>
      </c>
      <c r="C20" s="9">
        <v>935852600</v>
      </c>
      <c r="D20" s="9" t="s">
        <v>1531</v>
      </c>
      <c r="E20" s="33"/>
      <c r="F20" s="47" t="s">
        <v>1532</v>
      </c>
    </row>
    <row r="21" spans="2:6" x14ac:dyDescent="0.25">
      <c r="B21" s="81" t="s">
        <v>1533</v>
      </c>
      <c r="C21" s="9"/>
      <c r="D21" s="9"/>
      <c r="E21" s="33"/>
      <c r="F21" s="47"/>
    </row>
    <row r="22" spans="2:6" x14ac:dyDescent="0.25">
      <c r="B22" s="81" t="s">
        <v>1534</v>
      </c>
      <c r="C22" s="9">
        <v>958610967</v>
      </c>
      <c r="D22" s="9" t="s">
        <v>1448</v>
      </c>
      <c r="E22" s="33"/>
      <c r="F22" s="47" t="s">
        <v>1535</v>
      </c>
    </row>
    <row r="23" spans="2:6" x14ac:dyDescent="0.25">
      <c r="B23" s="81" t="s">
        <v>1536</v>
      </c>
      <c r="C23" s="9">
        <v>948123869</v>
      </c>
      <c r="D23" s="9" t="s">
        <v>1537</v>
      </c>
      <c r="E23" s="33"/>
      <c r="F23" s="47" t="s">
        <v>1538</v>
      </c>
    </row>
    <row r="24" spans="2:6" x14ac:dyDescent="0.25">
      <c r="B24" s="81" t="s">
        <v>1539</v>
      </c>
      <c r="C24" s="9"/>
      <c r="D24" s="9" t="s">
        <v>1447</v>
      </c>
      <c r="E24" s="33"/>
      <c r="F24" s="47"/>
    </row>
    <row r="25" spans="2:6" x14ac:dyDescent="0.25">
      <c r="B25" s="81" t="s">
        <v>1540</v>
      </c>
      <c r="C25" s="9"/>
      <c r="D25" s="9" t="s">
        <v>1447</v>
      </c>
      <c r="E25" s="33"/>
      <c r="F25" s="47"/>
    </row>
    <row r="26" spans="2:6" x14ac:dyDescent="0.25">
      <c r="B26" s="81" t="s">
        <v>1541</v>
      </c>
      <c r="C26" s="9">
        <v>956726511</v>
      </c>
      <c r="D26" s="9" t="s">
        <v>1449</v>
      </c>
      <c r="E26" s="33"/>
      <c r="F26" s="47" t="s">
        <v>1542</v>
      </c>
    </row>
    <row r="27" spans="2:6" x14ac:dyDescent="0.25">
      <c r="B27" s="81"/>
      <c r="C27" s="9"/>
      <c r="D27" s="9"/>
      <c r="E27" s="33"/>
      <c r="F27" s="47"/>
    </row>
    <row r="28" spans="2:6" x14ac:dyDescent="0.25">
      <c r="B28" s="81"/>
      <c r="C28" s="9"/>
      <c r="D28" s="9"/>
      <c r="E28" s="33"/>
      <c r="F28" s="47"/>
    </row>
    <row r="29" spans="2:6" x14ac:dyDescent="0.25">
      <c r="B29" s="81"/>
      <c r="C29" s="9"/>
      <c r="D29" s="9"/>
      <c r="E29" s="33"/>
      <c r="F29" s="47"/>
    </row>
    <row r="30" spans="2:6" x14ac:dyDescent="0.25">
      <c r="B30" s="81"/>
      <c r="C30" s="9"/>
      <c r="D30" s="9"/>
      <c r="E30" s="33"/>
      <c r="F30" s="47"/>
    </row>
    <row r="31" spans="2:6" x14ac:dyDescent="0.25">
      <c r="B31" s="81"/>
      <c r="C31" s="9"/>
      <c r="D31" s="9"/>
      <c r="E31" s="33"/>
      <c r="F31" s="47"/>
    </row>
    <row r="32" spans="2:6" x14ac:dyDescent="0.25">
      <c r="B32" s="81"/>
      <c r="C32" s="9"/>
      <c r="D32" s="9"/>
      <c r="E32" s="33"/>
      <c r="F32" s="47"/>
    </row>
    <row r="33" spans="2:6" x14ac:dyDescent="0.25">
      <c r="B33" s="81"/>
      <c r="C33" s="9"/>
      <c r="D33" s="9"/>
      <c r="E33" s="33"/>
      <c r="F33" s="47"/>
    </row>
    <row r="34" spans="2:6" x14ac:dyDescent="0.25">
      <c r="B34" s="81"/>
      <c r="C34" s="9"/>
      <c r="D34" s="9"/>
      <c r="E34" s="33"/>
      <c r="F34" s="47"/>
    </row>
    <row r="35" spans="2:6" x14ac:dyDescent="0.25">
      <c r="B35" s="81"/>
      <c r="C35" s="9"/>
      <c r="D35" s="9"/>
      <c r="E35" s="33"/>
      <c r="F35" s="47"/>
    </row>
    <row r="36" spans="2:6" x14ac:dyDescent="0.25">
      <c r="B36" s="81"/>
      <c r="C36" s="9"/>
      <c r="D36" s="9"/>
      <c r="E36" s="33"/>
      <c r="F36" s="47"/>
    </row>
    <row r="37" spans="2:6" x14ac:dyDescent="0.25">
      <c r="B37" s="81"/>
      <c r="C37" s="9"/>
      <c r="D37" s="9"/>
      <c r="E37" s="33"/>
      <c r="F37" s="47"/>
    </row>
    <row r="38" spans="2:6" x14ac:dyDescent="0.25">
      <c r="B38" s="81"/>
      <c r="C38" s="9"/>
      <c r="D38" s="9"/>
      <c r="E38" s="33"/>
      <c r="F38" s="47"/>
    </row>
    <row r="39" spans="2:6" x14ac:dyDescent="0.25">
      <c r="B39" s="81"/>
      <c r="C39" s="9"/>
      <c r="D39" s="9"/>
      <c r="E39" s="33"/>
      <c r="F39" s="47"/>
    </row>
    <row r="40" spans="2:6" x14ac:dyDescent="0.25">
      <c r="B40" s="81"/>
      <c r="C40" s="9"/>
      <c r="D40" s="48"/>
      <c r="E40" s="83"/>
      <c r="F40" s="47"/>
    </row>
    <row r="41" spans="2:6" x14ac:dyDescent="0.25">
      <c r="B41" s="81"/>
      <c r="C41" s="9"/>
      <c r="D41" s="9"/>
      <c r="E41" s="33"/>
      <c r="F41" s="47"/>
    </row>
    <row r="42" spans="2:6" x14ac:dyDescent="0.25">
      <c r="B42" s="81"/>
      <c r="C42" s="9"/>
      <c r="D42" s="9"/>
      <c r="E42" s="33"/>
      <c r="F42" s="47"/>
    </row>
    <row r="43" spans="2:6" x14ac:dyDescent="0.25">
      <c r="B43" s="81"/>
      <c r="C43" s="9"/>
      <c r="D43" s="48"/>
      <c r="E43" s="83"/>
      <c r="F43" s="47"/>
    </row>
    <row r="44" spans="2:6" x14ac:dyDescent="0.25">
      <c r="B44" s="81"/>
      <c r="C44" s="9"/>
      <c r="D44" s="9"/>
      <c r="E44" s="33"/>
      <c r="F44" s="47"/>
    </row>
    <row r="45" spans="2:6" x14ac:dyDescent="0.25">
      <c r="B45" s="81"/>
      <c r="C45" s="9"/>
      <c r="D45" s="46"/>
      <c r="E45" s="84"/>
      <c r="F45" s="47"/>
    </row>
    <row r="46" spans="2:6" x14ac:dyDescent="0.25">
      <c r="B46" s="81"/>
      <c r="C46" s="9"/>
      <c r="D46" s="9"/>
      <c r="E46" s="33"/>
      <c r="F46" s="47"/>
    </row>
    <row r="47" spans="2:6" x14ac:dyDescent="0.25">
      <c r="B47" s="81"/>
      <c r="C47" s="9"/>
      <c r="D47" s="9"/>
      <c r="E47" s="33"/>
      <c r="F47" s="47"/>
    </row>
    <row r="48" spans="2:6" x14ac:dyDescent="0.25">
      <c r="B48" s="81"/>
      <c r="C48" s="9"/>
      <c r="D48" s="9"/>
      <c r="E48" s="33"/>
      <c r="F48" s="47"/>
    </row>
    <row r="49" spans="2:6" x14ac:dyDescent="0.25">
      <c r="B49" s="81"/>
      <c r="C49" s="9"/>
      <c r="D49" s="9"/>
      <c r="E49" s="33"/>
      <c r="F49" s="47"/>
    </row>
    <row r="50" spans="2:6" x14ac:dyDescent="0.25">
      <c r="B50" s="81"/>
      <c r="C50" s="9"/>
      <c r="D50" s="48"/>
      <c r="E50" s="83"/>
      <c r="F50" s="47"/>
    </row>
    <row r="51" spans="2:6" x14ac:dyDescent="0.25">
      <c r="B51" s="81"/>
      <c r="C51" s="9"/>
      <c r="D51" s="9"/>
      <c r="E51" s="33"/>
      <c r="F51" s="47"/>
    </row>
    <row r="52" spans="2:6" x14ac:dyDescent="0.25">
      <c r="B52" s="81"/>
      <c r="C52" s="9"/>
      <c r="D52" s="9"/>
      <c r="E52" s="33"/>
      <c r="F52" s="47"/>
    </row>
    <row r="53" spans="2:6" x14ac:dyDescent="0.25">
      <c r="B53" s="81"/>
      <c r="C53" s="9"/>
      <c r="D53" s="48"/>
      <c r="E53" s="83"/>
      <c r="F53" s="47"/>
    </row>
    <row r="54" spans="2:6" x14ac:dyDescent="0.25">
      <c r="B54" s="81"/>
      <c r="C54" s="9"/>
      <c r="D54" s="46"/>
      <c r="E54" s="84"/>
      <c r="F54" s="47"/>
    </row>
    <row r="55" spans="2:6" x14ac:dyDescent="0.25">
      <c r="B55" s="81"/>
      <c r="C55" s="9"/>
      <c r="D55" s="9"/>
      <c r="E55" s="33"/>
      <c r="F55" s="47"/>
    </row>
    <row r="56" spans="2:6" x14ac:dyDescent="0.25">
      <c r="B56" s="81"/>
      <c r="C56" s="9"/>
      <c r="D56" s="48"/>
      <c r="E56" s="83"/>
      <c r="F56" s="47"/>
    </row>
    <row r="57" spans="2:6" x14ac:dyDescent="0.25">
      <c r="B57" s="81"/>
      <c r="C57" s="9"/>
      <c r="D57" s="46"/>
      <c r="E57" s="84"/>
      <c r="F57" s="47"/>
    </row>
    <row r="58" spans="2:6" x14ac:dyDescent="0.25">
      <c r="B58" s="81"/>
      <c r="C58" s="9"/>
      <c r="D58" s="9"/>
      <c r="E58" s="33"/>
      <c r="F58" s="47"/>
    </row>
    <row r="59" spans="2:6" x14ac:dyDescent="0.25">
      <c r="B59" s="81"/>
      <c r="C59" s="9"/>
      <c r="D59" s="46"/>
      <c r="E59" s="84"/>
      <c r="F59" s="47"/>
    </row>
    <row r="60" spans="2:6" x14ac:dyDescent="0.25">
      <c r="B60" s="81"/>
      <c r="C60" s="9"/>
      <c r="D60" s="9"/>
      <c r="E60" s="33"/>
      <c r="F60" s="47"/>
    </row>
    <row r="61" spans="2:6" x14ac:dyDescent="0.25">
      <c r="B61" s="81"/>
      <c r="C61" s="9"/>
      <c r="D61" s="9"/>
      <c r="E61" s="33"/>
      <c r="F61" s="47"/>
    </row>
    <row r="62" spans="2:6" x14ac:dyDescent="0.25">
      <c r="B62" s="81"/>
      <c r="C62" s="9"/>
      <c r="D62" s="9"/>
      <c r="E62" s="33"/>
      <c r="F62" s="47"/>
    </row>
    <row r="63" spans="2:6" x14ac:dyDescent="0.25">
      <c r="B63" s="81"/>
      <c r="C63" s="9"/>
      <c r="D63" s="9"/>
      <c r="E63" s="33"/>
      <c r="F63" s="47"/>
    </row>
    <row r="64" spans="2:6" x14ac:dyDescent="0.25">
      <c r="B64" s="81"/>
      <c r="C64" s="9"/>
      <c r="D64" s="9"/>
      <c r="E64" s="33"/>
      <c r="F64" s="47"/>
    </row>
    <row r="65" spans="2:6" x14ac:dyDescent="0.25">
      <c r="B65" s="81"/>
      <c r="C65" s="9"/>
      <c r="D65" s="9"/>
      <c r="E65" s="33"/>
      <c r="F65" s="47"/>
    </row>
    <row r="66" spans="2:6" x14ac:dyDescent="0.25">
      <c r="B66" s="81"/>
      <c r="C66" s="9"/>
      <c r="D66" s="9"/>
      <c r="E66" s="33"/>
      <c r="F66" s="47"/>
    </row>
    <row r="67" spans="2:6" x14ac:dyDescent="0.25">
      <c r="B67" s="81"/>
      <c r="C67" s="9"/>
      <c r="D67" s="9"/>
      <c r="E67" s="33"/>
      <c r="F67" s="47"/>
    </row>
    <row r="68" spans="2:6" x14ac:dyDescent="0.25">
      <c r="B68" s="81"/>
      <c r="C68" s="9"/>
      <c r="D68" s="9"/>
      <c r="E68" s="33"/>
      <c r="F68" s="47"/>
    </row>
    <row r="69" spans="2:6" x14ac:dyDescent="0.25">
      <c r="B69" s="81"/>
      <c r="C69" s="9"/>
      <c r="D69" s="9"/>
      <c r="E69" s="33"/>
      <c r="F69" s="47"/>
    </row>
    <row r="70" spans="2:6" x14ac:dyDescent="0.25">
      <c r="B70" s="81"/>
      <c r="C70" s="9"/>
      <c r="D70" s="9"/>
      <c r="E70" s="33"/>
      <c r="F70" s="47"/>
    </row>
    <row r="71" spans="2:6" x14ac:dyDescent="0.25">
      <c r="B71" s="81"/>
      <c r="C71" s="9"/>
      <c r="D71" s="9"/>
      <c r="E71" s="33"/>
      <c r="F71" s="47"/>
    </row>
    <row r="72" spans="2:6" x14ac:dyDescent="0.25">
      <c r="B72" s="81"/>
      <c r="C72" s="9"/>
      <c r="D72" s="9"/>
      <c r="E72" s="33"/>
      <c r="F72" s="47"/>
    </row>
    <row r="73" spans="2:6" x14ac:dyDescent="0.25">
      <c r="B73" s="81"/>
      <c r="C73" s="9"/>
      <c r="D73" s="9"/>
      <c r="E73" s="33"/>
      <c r="F73" s="47"/>
    </row>
    <row r="74" spans="2:6" x14ac:dyDescent="0.25">
      <c r="B74" s="81"/>
      <c r="C74" s="9"/>
      <c r="D74" s="9"/>
      <c r="E74" s="33"/>
      <c r="F74" s="47"/>
    </row>
    <row r="75" spans="2:6" x14ac:dyDescent="0.25">
      <c r="B75" s="81"/>
      <c r="C75" s="9"/>
      <c r="D75" s="9"/>
      <c r="E75" s="33"/>
      <c r="F75" s="47"/>
    </row>
    <row r="76" spans="2:6" x14ac:dyDescent="0.25">
      <c r="B76" s="81"/>
      <c r="C76" s="9"/>
      <c r="D76" s="9"/>
      <c r="E76" s="33"/>
      <c r="F76" s="47"/>
    </row>
    <row r="77" spans="2:6" x14ac:dyDescent="0.25">
      <c r="B77" s="81"/>
      <c r="C77" s="9"/>
      <c r="D77" s="9"/>
      <c r="E77" s="33"/>
      <c r="F77" s="47"/>
    </row>
    <row r="78" spans="2:6" x14ac:dyDescent="0.25">
      <c r="B78" s="81"/>
      <c r="C78" s="9"/>
      <c r="D78" s="9"/>
      <c r="E78" s="33"/>
      <c r="F78" s="47"/>
    </row>
    <row r="79" spans="2:6" x14ac:dyDescent="0.25">
      <c r="B79" s="81"/>
      <c r="C79" s="9"/>
      <c r="D79" s="9"/>
      <c r="E79" s="33"/>
      <c r="F79" s="47"/>
    </row>
    <row r="80" spans="2:6" x14ac:dyDescent="0.25">
      <c r="B80" s="81"/>
      <c r="C80" s="9"/>
      <c r="D80" s="9"/>
      <c r="E80" s="33"/>
      <c r="F80" s="47"/>
    </row>
    <row r="81" spans="2:6" x14ac:dyDescent="0.25">
      <c r="B81" s="81"/>
      <c r="C81" s="9"/>
      <c r="D81" s="9"/>
      <c r="E81" s="33"/>
      <c r="F81" s="47"/>
    </row>
    <row r="82" spans="2:6" x14ac:dyDescent="0.25">
      <c r="B82" s="81"/>
      <c r="C82" s="9"/>
      <c r="D82" s="9"/>
      <c r="E82" s="33"/>
      <c r="F82" s="47"/>
    </row>
    <row r="83" spans="2:6" x14ac:dyDescent="0.25">
      <c r="B83" s="81"/>
      <c r="C83" s="9"/>
      <c r="D83" s="9"/>
      <c r="E83" s="33"/>
      <c r="F83" s="47"/>
    </row>
    <row r="84" spans="2:6" x14ac:dyDescent="0.25">
      <c r="B84" s="81"/>
      <c r="C84" s="9"/>
      <c r="D84" s="9"/>
      <c r="E84" s="33"/>
      <c r="F84" s="47"/>
    </row>
    <row r="85" spans="2:6" x14ac:dyDescent="0.25">
      <c r="B85" s="81"/>
      <c r="C85" s="9"/>
      <c r="D85" s="9"/>
      <c r="E85" s="33"/>
      <c r="F85" s="47"/>
    </row>
    <row r="86" spans="2:6" x14ac:dyDescent="0.25">
      <c r="B86" s="81"/>
      <c r="C86" s="9"/>
      <c r="D86" s="9"/>
      <c r="E86" s="33"/>
      <c r="F86" s="47"/>
    </row>
    <row r="87" spans="2:6" x14ac:dyDescent="0.25">
      <c r="B87" s="81"/>
      <c r="C87" s="9"/>
      <c r="D87" s="9"/>
      <c r="E87" s="33"/>
      <c r="F87" s="47"/>
    </row>
    <row r="88" spans="2:6" x14ac:dyDescent="0.25">
      <c r="B88" s="81"/>
      <c r="C88" s="9"/>
      <c r="D88" s="9"/>
      <c r="E88" s="33"/>
      <c r="F88" s="47"/>
    </row>
    <row r="89" spans="2:6" x14ac:dyDescent="0.25">
      <c r="B89" s="81"/>
      <c r="C89" s="9"/>
      <c r="D89" s="9"/>
      <c r="E89" s="33"/>
      <c r="F89" s="47"/>
    </row>
    <row r="90" spans="2:6" x14ac:dyDescent="0.25">
      <c r="B90" s="81"/>
      <c r="C90" s="9"/>
      <c r="D90" s="9"/>
      <c r="E90" s="33"/>
      <c r="F90" s="47"/>
    </row>
    <row r="91" spans="2:6" x14ac:dyDescent="0.25">
      <c r="B91" s="81"/>
      <c r="C91" s="9"/>
      <c r="D91" s="9"/>
      <c r="E91" s="33"/>
      <c r="F91" s="47"/>
    </row>
    <row r="92" spans="2:6" x14ac:dyDescent="0.25">
      <c r="B92" s="81"/>
      <c r="C92" s="9"/>
      <c r="D92" s="9"/>
      <c r="E92" s="33"/>
      <c r="F92" s="47"/>
    </row>
    <row r="93" spans="2:6" x14ac:dyDescent="0.25">
      <c r="B93" s="81"/>
      <c r="C93" s="9"/>
      <c r="D93" s="9"/>
      <c r="E93" s="33"/>
      <c r="F93" s="47"/>
    </row>
    <row r="94" spans="2:6" x14ac:dyDescent="0.25">
      <c r="B94" s="81"/>
      <c r="C94" s="9"/>
      <c r="D94" s="46"/>
      <c r="E94" s="84"/>
      <c r="F94" s="47"/>
    </row>
    <row r="95" spans="2:6" x14ac:dyDescent="0.25">
      <c r="B95" s="81"/>
      <c r="C95" s="9"/>
      <c r="D95" s="9"/>
      <c r="E95" s="33"/>
      <c r="F95" s="47"/>
    </row>
    <row r="96" spans="2:6" x14ac:dyDescent="0.25">
      <c r="B96" s="81"/>
      <c r="C96" s="9"/>
      <c r="D96" s="9"/>
      <c r="E96" s="33"/>
      <c r="F96" s="47"/>
    </row>
    <row r="97" spans="2:6" x14ac:dyDescent="0.25">
      <c r="B97" s="81"/>
      <c r="C97" s="9"/>
      <c r="D97" s="9"/>
      <c r="E97" s="33"/>
      <c r="F97" s="47"/>
    </row>
    <row r="98" spans="2:6" x14ac:dyDescent="0.25">
      <c r="B98" s="81"/>
      <c r="C98" s="9"/>
      <c r="D98" s="9"/>
      <c r="E98" s="33"/>
      <c r="F98" s="47"/>
    </row>
    <row r="99" spans="2:6" x14ac:dyDescent="0.25">
      <c r="B99" s="81"/>
      <c r="C99" s="9"/>
      <c r="D99" s="9"/>
      <c r="E99" s="33"/>
      <c r="F99" s="47"/>
    </row>
    <row r="100" spans="2:6" x14ac:dyDescent="0.25">
      <c r="B100" s="81"/>
      <c r="C100" s="9"/>
      <c r="D100" s="9"/>
      <c r="E100" s="33"/>
      <c r="F100" s="47"/>
    </row>
    <row r="101" spans="2:6" x14ac:dyDescent="0.25">
      <c r="B101" s="81"/>
      <c r="C101" s="9"/>
      <c r="D101" s="9"/>
      <c r="E101" s="33"/>
      <c r="F101" s="47"/>
    </row>
    <row r="102" spans="2:6" x14ac:dyDescent="0.25">
      <c r="B102" s="81"/>
      <c r="C102" s="9"/>
      <c r="D102" s="9"/>
      <c r="E102" s="33"/>
      <c r="F102" s="47"/>
    </row>
    <row r="103" spans="2:6" x14ac:dyDescent="0.25">
      <c r="B103" s="81"/>
      <c r="C103" s="9"/>
      <c r="D103" s="9"/>
      <c r="E103" s="33"/>
      <c r="F103" s="47"/>
    </row>
    <row r="104" spans="2:6" x14ac:dyDescent="0.25">
      <c r="B104" s="81"/>
      <c r="C104" s="9"/>
      <c r="D104" s="9"/>
      <c r="E104" s="33"/>
      <c r="F104" s="47"/>
    </row>
    <row r="105" spans="2:6" x14ac:dyDescent="0.25">
      <c r="B105" s="81"/>
      <c r="C105" s="9"/>
      <c r="D105" s="9"/>
      <c r="E105" s="33"/>
      <c r="F105" s="47"/>
    </row>
    <row r="106" spans="2:6" x14ac:dyDescent="0.25">
      <c r="B106" s="81"/>
      <c r="C106" s="9"/>
      <c r="D106" s="46"/>
      <c r="E106" s="84"/>
      <c r="F106" s="47"/>
    </row>
    <row r="107" spans="2:6" x14ac:dyDescent="0.25">
      <c r="B107" s="81"/>
      <c r="C107" s="9"/>
      <c r="D107" s="48"/>
      <c r="E107" s="83"/>
      <c r="F107" s="47"/>
    </row>
    <row r="108" spans="2:6" x14ac:dyDescent="0.25">
      <c r="B108" s="81"/>
      <c r="C108" s="9"/>
      <c r="D108" s="49"/>
      <c r="E108" s="85"/>
      <c r="F108" s="47"/>
    </row>
    <row r="109" spans="2:6" x14ac:dyDescent="0.25">
      <c r="B109" s="81"/>
      <c r="C109" s="9"/>
      <c r="D109" s="9"/>
      <c r="E109" s="33"/>
      <c r="F109" s="47"/>
    </row>
    <row r="110" spans="2:6" x14ac:dyDescent="0.25">
      <c r="B110" s="81"/>
      <c r="C110" s="9"/>
      <c r="D110" s="9"/>
      <c r="E110" s="33"/>
      <c r="F110" s="47"/>
    </row>
    <row r="111" spans="2:6" x14ac:dyDescent="0.25">
      <c r="B111" s="81"/>
      <c r="C111" s="9"/>
      <c r="D111" s="9"/>
      <c r="E111" s="33"/>
      <c r="F111" s="47"/>
    </row>
    <row r="112" spans="2:6" x14ac:dyDescent="0.25">
      <c r="B112" s="81"/>
      <c r="C112" s="9"/>
      <c r="D112" s="9"/>
      <c r="E112" s="33"/>
      <c r="F112" s="47"/>
    </row>
    <row r="113" spans="2:6" x14ac:dyDescent="0.25">
      <c r="B113" s="81"/>
      <c r="C113" s="9"/>
      <c r="D113" s="9"/>
      <c r="E113" s="33"/>
      <c r="F113" s="47"/>
    </row>
    <row r="114" spans="2:6" x14ac:dyDescent="0.25">
      <c r="B114" s="81"/>
      <c r="C114" s="9"/>
      <c r="D114" s="49"/>
      <c r="E114" s="85"/>
      <c r="F114" s="47"/>
    </row>
    <row r="115" spans="2:6" x14ac:dyDescent="0.25">
      <c r="B115" s="81"/>
      <c r="C115" s="9"/>
      <c r="D115" s="9"/>
      <c r="E115" s="33"/>
      <c r="F115" s="47"/>
    </row>
    <row r="116" spans="2:6" x14ac:dyDescent="0.25">
      <c r="B116" s="81"/>
      <c r="C116" s="9"/>
      <c r="D116" s="46"/>
      <c r="E116" s="84"/>
      <c r="F116" s="47"/>
    </row>
    <row r="117" spans="2:6" x14ac:dyDescent="0.25">
      <c r="B117" s="81"/>
      <c r="C117" s="9"/>
      <c r="D117" s="49"/>
      <c r="E117" s="85"/>
      <c r="F117" s="47"/>
    </row>
    <row r="118" spans="2:6" x14ac:dyDescent="0.25">
      <c r="B118" s="81"/>
      <c r="C118" s="9"/>
      <c r="D118" s="9"/>
      <c r="E118" s="33"/>
      <c r="F118" s="47"/>
    </row>
    <row r="119" spans="2:6" x14ac:dyDescent="0.25">
      <c r="B119" s="81"/>
      <c r="C119" s="9"/>
      <c r="D119" s="9"/>
      <c r="E119" s="33"/>
      <c r="F119" s="47"/>
    </row>
    <row r="120" spans="2:6" x14ac:dyDescent="0.25">
      <c r="B120" s="81"/>
      <c r="C120" s="9"/>
      <c r="D120" s="49"/>
      <c r="E120" s="85"/>
      <c r="F120" s="47"/>
    </row>
    <row r="121" spans="2:6" x14ac:dyDescent="0.25">
      <c r="B121" s="81"/>
      <c r="C121" s="9"/>
      <c r="D121" s="9"/>
      <c r="E121" s="33"/>
      <c r="F121" s="47"/>
    </row>
    <row r="122" spans="2:6" x14ac:dyDescent="0.25">
      <c r="B122" s="81"/>
      <c r="C122" s="9"/>
      <c r="D122" s="46"/>
      <c r="E122" s="84"/>
      <c r="F122" s="47"/>
    </row>
    <row r="123" spans="2:6" x14ac:dyDescent="0.25">
      <c r="B123" s="81"/>
      <c r="C123" s="9"/>
      <c r="D123" s="49"/>
      <c r="E123" s="85"/>
      <c r="F123" s="47"/>
    </row>
    <row r="124" spans="2:6" x14ac:dyDescent="0.25">
      <c r="B124" s="81"/>
      <c r="C124" s="9"/>
      <c r="D124" s="9"/>
      <c r="E124" s="33"/>
      <c r="F124" s="47"/>
    </row>
    <row r="125" spans="2:6" x14ac:dyDescent="0.25">
      <c r="B125" s="81"/>
      <c r="C125" s="9"/>
      <c r="D125" s="46"/>
      <c r="E125" s="84"/>
      <c r="F125" s="47"/>
    </row>
    <row r="126" spans="2:6" x14ac:dyDescent="0.25">
      <c r="B126" s="81"/>
      <c r="C126" s="9"/>
      <c r="D126" s="48"/>
      <c r="E126" s="83"/>
      <c r="F126" s="47"/>
    </row>
    <row r="127" spans="2:6" x14ac:dyDescent="0.25">
      <c r="B127" s="81"/>
      <c r="C127" s="9"/>
      <c r="D127" s="9"/>
      <c r="E127" s="33"/>
      <c r="F127" s="47"/>
    </row>
    <row r="128" spans="2:6" x14ac:dyDescent="0.25">
      <c r="B128" s="81"/>
      <c r="C128" s="9"/>
      <c r="D128" s="9"/>
      <c r="E128" s="33"/>
      <c r="F128" s="47"/>
    </row>
    <row r="129" spans="2:6" x14ac:dyDescent="0.25">
      <c r="B129" s="81"/>
      <c r="C129" s="9"/>
      <c r="D129" s="48"/>
      <c r="E129" s="83"/>
      <c r="F129" s="47"/>
    </row>
    <row r="130" spans="2:6" x14ac:dyDescent="0.25">
      <c r="B130" s="81"/>
      <c r="C130" s="9"/>
      <c r="D130" s="9"/>
      <c r="E130" s="33"/>
      <c r="F130" s="47"/>
    </row>
    <row r="131" spans="2:6" x14ac:dyDescent="0.25">
      <c r="B131" s="81"/>
      <c r="C131" s="9"/>
      <c r="D131" s="9"/>
      <c r="E131" s="33"/>
      <c r="F131" s="47"/>
    </row>
    <row r="132" spans="2:6" x14ac:dyDescent="0.25">
      <c r="B132" s="81"/>
      <c r="C132" s="9"/>
      <c r="D132" s="46"/>
      <c r="E132" s="84"/>
      <c r="F132" s="47"/>
    </row>
    <row r="133" spans="2:6" x14ac:dyDescent="0.25">
      <c r="B133" s="81"/>
      <c r="C133" s="9"/>
      <c r="D133" s="9"/>
      <c r="E133" s="33"/>
      <c r="F133" s="47"/>
    </row>
    <row r="134" spans="2:6" x14ac:dyDescent="0.25">
      <c r="B134" s="81"/>
      <c r="C134" s="9"/>
      <c r="D134" s="9"/>
      <c r="E134" s="33"/>
      <c r="F134" s="47"/>
    </row>
    <row r="135" spans="2:6" x14ac:dyDescent="0.25">
      <c r="B135" s="81"/>
      <c r="C135" s="9"/>
      <c r="D135" s="48"/>
      <c r="E135" s="83"/>
      <c r="F135" s="47"/>
    </row>
    <row r="136" spans="2:6" x14ac:dyDescent="0.25">
      <c r="B136" s="81"/>
      <c r="C136" s="9"/>
      <c r="D136" s="9"/>
      <c r="E136" s="33"/>
      <c r="F136" s="47"/>
    </row>
    <row r="137" spans="2:6" x14ac:dyDescent="0.25">
      <c r="B137" s="81"/>
      <c r="C137" s="9"/>
      <c r="D137" s="9"/>
      <c r="E137" s="33"/>
      <c r="F137" s="47"/>
    </row>
    <row r="138" spans="2:6" x14ac:dyDescent="0.25">
      <c r="B138" s="81"/>
      <c r="C138" s="9"/>
      <c r="D138" s="9"/>
      <c r="E138" s="33"/>
      <c r="F138" s="47"/>
    </row>
    <row r="139" spans="2:6" x14ac:dyDescent="0.25">
      <c r="B139" s="81"/>
      <c r="C139" s="9"/>
      <c r="D139" s="9"/>
      <c r="E139" s="33"/>
      <c r="F139" s="47"/>
    </row>
    <row r="140" spans="2:6" x14ac:dyDescent="0.25">
      <c r="B140" s="81"/>
      <c r="C140" s="9"/>
      <c r="D140" s="9"/>
      <c r="E140" s="33"/>
      <c r="F140" s="47"/>
    </row>
    <row r="141" spans="2:6" x14ac:dyDescent="0.25">
      <c r="B141" s="81"/>
      <c r="C141" s="9"/>
      <c r="D141" s="9"/>
      <c r="E141" s="33"/>
      <c r="F141" s="47"/>
    </row>
    <row r="142" spans="2:6" x14ac:dyDescent="0.25">
      <c r="B142" s="81"/>
      <c r="C142" s="9"/>
      <c r="D142" s="9"/>
      <c r="E142" s="33"/>
      <c r="F142" s="47"/>
    </row>
    <row r="143" spans="2:6" x14ac:dyDescent="0.25">
      <c r="B143" s="81"/>
      <c r="C143" s="9"/>
      <c r="D143" s="9"/>
      <c r="E143" s="33"/>
      <c r="F143" s="47"/>
    </row>
    <row r="144" spans="2:6" x14ac:dyDescent="0.25">
      <c r="B144" s="81"/>
      <c r="C144" s="9"/>
      <c r="D144" s="9"/>
      <c r="E144" s="33"/>
      <c r="F144" s="47"/>
    </row>
    <row r="145" spans="2:6" x14ac:dyDescent="0.25">
      <c r="B145" s="81"/>
      <c r="C145" s="9"/>
      <c r="D145" s="9"/>
      <c r="E145" s="33"/>
      <c r="F145" s="47"/>
    </row>
    <row r="146" spans="2:6" x14ac:dyDescent="0.25">
      <c r="B146" s="81"/>
      <c r="C146" s="9"/>
      <c r="D146" s="9"/>
      <c r="E146" s="33"/>
      <c r="F146" s="47"/>
    </row>
    <row r="147" spans="2:6" x14ac:dyDescent="0.25">
      <c r="B147" s="81"/>
      <c r="C147" s="9"/>
      <c r="D147" s="9"/>
      <c r="E147" s="33"/>
      <c r="F147" s="47"/>
    </row>
    <row r="148" spans="2:6" x14ac:dyDescent="0.25">
      <c r="B148" s="86"/>
      <c r="C148" s="9"/>
      <c r="D148" s="9"/>
      <c r="E148" s="33"/>
      <c r="F148" s="47"/>
    </row>
    <row r="149" spans="2:6" x14ac:dyDescent="0.25">
      <c r="B149" s="81"/>
      <c r="C149" s="9"/>
      <c r="D149" s="9"/>
      <c r="E149" s="33"/>
      <c r="F149" s="47"/>
    </row>
    <row r="150" spans="2:6" x14ac:dyDescent="0.25">
      <c r="B150" s="81"/>
      <c r="C150" s="9"/>
      <c r="D150" s="9"/>
      <c r="E150" s="33"/>
      <c r="F150" s="47"/>
    </row>
    <row r="151" spans="2:6" x14ac:dyDescent="0.25">
      <c r="B151" s="81"/>
      <c r="C151" s="9"/>
      <c r="D151" s="9"/>
      <c r="E151" s="33"/>
      <c r="F151" s="47"/>
    </row>
    <row r="152" spans="2:6" x14ac:dyDescent="0.25">
      <c r="B152" s="81"/>
      <c r="C152" s="9"/>
      <c r="D152" s="9"/>
      <c r="E152" s="33"/>
      <c r="F152" s="47"/>
    </row>
    <row r="153" spans="2:6" x14ac:dyDescent="0.25">
      <c r="B153" s="81"/>
      <c r="C153" s="9"/>
      <c r="D153" s="9"/>
      <c r="E153" s="33"/>
      <c r="F153" s="47"/>
    </row>
    <row r="154" spans="2:6" x14ac:dyDescent="0.25">
      <c r="B154" s="81"/>
      <c r="C154" s="9"/>
      <c r="D154" s="9"/>
      <c r="E154" s="33"/>
      <c r="F154" s="47"/>
    </row>
    <row r="155" spans="2:6" x14ac:dyDescent="0.25">
      <c r="B155" s="81"/>
      <c r="C155" s="9"/>
      <c r="D155" s="9"/>
      <c r="E155" s="33"/>
      <c r="F155" s="47"/>
    </row>
    <row r="156" spans="2:6" x14ac:dyDescent="0.25">
      <c r="B156" s="81"/>
      <c r="C156" s="9"/>
      <c r="D156" s="9"/>
      <c r="E156" s="33"/>
      <c r="F156" s="47"/>
    </row>
    <row r="157" spans="2:6" x14ac:dyDescent="0.25">
      <c r="B157" s="81"/>
      <c r="C157" s="9"/>
      <c r="D157" s="9"/>
      <c r="E157" s="33"/>
      <c r="F157" s="47"/>
    </row>
    <row r="158" spans="2:6" x14ac:dyDescent="0.25">
      <c r="B158" s="81"/>
      <c r="C158" s="9"/>
      <c r="D158" s="9"/>
      <c r="E158" s="33"/>
      <c r="F158" s="47"/>
    </row>
    <row r="159" spans="2:6" x14ac:dyDescent="0.25">
      <c r="B159" s="81"/>
      <c r="C159" s="9"/>
      <c r="D159" s="9"/>
      <c r="E159" s="33"/>
      <c r="F159" s="47"/>
    </row>
    <row r="160" spans="2:6" x14ac:dyDescent="0.25">
      <c r="B160" s="81"/>
      <c r="C160" s="9"/>
      <c r="D160" s="9"/>
      <c r="E160" s="33"/>
      <c r="F160" s="47"/>
    </row>
    <row r="161" spans="2:6" x14ac:dyDescent="0.25">
      <c r="B161" s="81"/>
      <c r="C161" s="9"/>
      <c r="D161" s="9"/>
      <c r="E161" s="33"/>
      <c r="F161" s="47"/>
    </row>
    <row r="162" spans="2:6" x14ac:dyDescent="0.25">
      <c r="B162" s="81"/>
      <c r="C162" s="9"/>
      <c r="D162" s="9"/>
      <c r="E162" s="33"/>
      <c r="F162" s="47"/>
    </row>
    <row r="163" spans="2:6" x14ac:dyDescent="0.25">
      <c r="B163" s="81"/>
      <c r="C163" s="9"/>
      <c r="D163" s="46"/>
      <c r="E163" s="84"/>
      <c r="F163" s="47"/>
    </row>
    <row r="164" spans="2:6" x14ac:dyDescent="0.25">
      <c r="B164" s="81"/>
      <c r="C164" s="9"/>
      <c r="D164" s="46"/>
      <c r="E164" s="84"/>
      <c r="F164" s="47"/>
    </row>
    <row r="165" spans="2:6" x14ac:dyDescent="0.25">
      <c r="B165" s="81"/>
      <c r="C165" s="9"/>
      <c r="D165" s="9"/>
      <c r="E165" s="33"/>
      <c r="F165" s="47"/>
    </row>
    <row r="166" spans="2:6" x14ac:dyDescent="0.25">
      <c r="B166" s="81"/>
      <c r="C166" s="9"/>
      <c r="D166" s="9"/>
      <c r="E166" s="33"/>
      <c r="F166" s="47"/>
    </row>
    <row r="167" spans="2:6" x14ac:dyDescent="0.25">
      <c r="B167" s="81"/>
      <c r="C167" s="9"/>
      <c r="D167" s="9"/>
      <c r="E167" s="33"/>
      <c r="F167" s="47"/>
    </row>
    <row r="168" spans="2:6" x14ac:dyDescent="0.25">
      <c r="B168" s="81"/>
      <c r="C168" s="9"/>
      <c r="D168" s="9"/>
      <c r="E168" s="33"/>
      <c r="F168" s="47"/>
    </row>
    <row r="169" spans="2:6" x14ac:dyDescent="0.25">
      <c r="B169" s="81"/>
      <c r="C169" s="9"/>
      <c r="D169" s="9"/>
      <c r="E169" s="33"/>
      <c r="F169" s="47"/>
    </row>
    <row r="170" spans="2:6" x14ac:dyDescent="0.25">
      <c r="B170" s="81"/>
      <c r="C170" s="9"/>
      <c r="D170" s="9"/>
      <c r="E170" s="33"/>
      <c r="F170" s="47"/>
    </row>
    <row r="171" spans="2:6" x14ac:dyDescent="0.25">
      <c r="B171" s="81"/>
      <c r="C171" s="9"/>
      <c r="D171" s="9"/>
      <c r="E171" s="33"/>
      <c r="F171" s="47"/>
    </row>
    <row r="172" spans="2:6" x14ac:dyDescent="0.25">
      <c r="B172" s="81"/>
      <c r="C172" s="9"/>
      <c r="D172" s="9"/>
      <c r="E172" s="33"/>
      <c r="F172" s="47"/>
    </row>
    <row r="173" spans="2:6" x14ac:dyDescent="0.25">
      <c r="B173" s="81"/>
      <c r="C173" s="9"/>
      <c r="D173" s="9"/>
      <c r="E173" s="33"/>
      <c r="F173" s="47"/>
    </row>
    <row r="174" spans="2:6" x14ac:dyDescent="0.25">
      <c r="B174" s="81"/>
      <c r="C174" s="9"/>
      <c r="D174" s="9"/>
      <c r="E174" s="33"/>
      <c r="F174" s="47"/>
    </row>
    <row r="175" spans="2:6" x14ac:dyDescent="0.25">
      <c r="B175" s="81"/>
      <c r="C175" s="9"/>
      <c r="D175" s="9"/>
      <c r="E175" s="33"/>
      <c r="F175" s="47"/>
    </row>
    <row r="176" spans="2:6" x14ac:dyDescent="0.25">
      <c r="B176" s="81"/>
      <c r="C176" s="9"/>
      <c r="D176" s="9"/>
      <c r="E176" s="33"/>
      <c r="F176" s="47"/>
    </row>
    <row r="177" spans="2:6" x14ac:dyDescent="0.25">
      <c r="B177" s="81"/>
      <c r="C177" s="9"/>
      <c r="D177" s="9"/>
      <c r="E177" s="33"/>
      <c r="F177" s="47"/>
    </row>
    <row r="178" spans="2:6" x14ac:dyDescent="0.25">
      <c r="B178" s="81"/>
      <c r="C178" s="9"/>
      <c r="D178" s="9"/>
      <c r="E178" s="33"/>
      <c r="F178" s="47"/>
    </row>
    <row r="179" spans="2:6" x14ac:dyDescent="0.25">
      <c r="B179" s="81"/>
      <c r="C179" s="9"/>
      <c r="D179" s="9"/>
      <c r="E179" s="33"/>
      <c r="F179" s="47"/>
    </row>
    <row r="180" spans="2:6" x14ac:dyDescent="0.25">
      <c r="B180" s="81"/>
      <c r="C180" s="9"/>
      <c r="D180" s="9"/>
      <c r="E180" s="33"/>
      <c r="F180" s="47"/>
    </row>
    <row r="181" spans="2:6" x14ac:dyDescent="0.25">
      <c r="B181" s="81"/>
      <c r="C181" s="9"/>
      <c r="D181" s="9"/>
      <c r="E181" s="33"/>
      <c r="F181" s="47"/>
    </row>
    <row r="182" spans="2:6" x14ac:dyDescent="0.25">
      <c r="B182" s="81"/>
      <c r="C182" s="9"/>
      <c r="D182" s="9"/>
      <c r="E182" s="33"/>
      <c r="F182" s="47"/>
    </row>
    <row r="183" spans="2:6" x14ac:dyDescent="0.25">
      <c r="B183" s="81"/>
      <c r="C183" s="9"/>
      <c r="D183" s="9"/>
      <c r="E183" s="33"/>
      <c r="F183" s="47"/>
    </row>
    <row r="184" spans="2:6" x14ac:dyDescent="0.25">
      <c r="B184" s="81"/>
      <c r="C184" s="9"/>
      <c r="D184" s="9"/>
      <c r="E184" s="33"/>
      <c r="F184" s="47"/>
    </row>
    <row r="185" spans="2:6" x14ac:dyDescent="0.25">
      <c r="B185" s="81"/>
      <c r="C185" s="9"/>
      <c r="D185" s="9"/>
      <c r="E185" s="33"/>
      <c r="F185" s="47"/>
    </row>
    <row r="186" spans="2:6" x14ac:dyDescent="0.25">
      <c r="B186" s="81"/>
      <c r="C186" s="9"/>
      <c r="D186" s="9"/>
      <c r="E186" s="33"/>
      <c r="F186" s="47"/>
    </row>
    <row r="187" spans="2:6" x14ac:dyDescent="0.25">
      <c r="B187" s="81"/>
      <c r="C187" s="9"/>
      <c r="D187" s="9"/>
      <c r="E187" s="33"/>
      <c r="F187" s="47"/>
    </row>
    <row r="188" spans="2:6" x14ac:dyDescent="0.25">
      <c r="B188" s="81"/>
      <c r="C188" s="9"/>
      <c r="D188" s="9"/>
      <c r="E188" s="33"/>
      <c r="F188" s="47"/>
    </row>
    <row r="189" spans="2:6" x14ac:dyDescent="0.25">
      <c r="B189" s="81"/>
      <c r="C189" s="9"/>
      <c r="D189" s="9"/>
      <c r="E189" s="33"/>
      <c r="F189" s="47"/>
    </row>
    <row r="190" spans="2:6" x14ac:dyDescent="0.25">
      <c r="B190" s="81"/>
      <c r="C190" s="9"/>
      <c r="D190" s="9"/>
      <c r="E190" s="33"/>
      <c r="F190" s="47"/>
    </row>
    <row r="191" spans="2:6" x14ac:dyDescent="0.25">
      <c r="B191" s="81"/>
      <c r="C191" s="9"/>
      <c r="D191" s="9"/>
      <c r="E191" s="33"/>
      <c r="F191" s="47"/>
    </row>
    <row r="192" spans="2:6" x14ac:dyDescent="0.25">
      <c r="B192" s="81"/>
      <c r="C192" s="9"/>
      <c r="D192" s="9"/>
      <c r="E192" s="33"/>
      <c r="F192" s="47"/>
    </row>
    <row r="193" spans="2:6" x14ac:dyDescent="0.25">
      <c r="B193" s="81"/>
      <c r="C193" s="9"/>
      <c r="D193" s="9"/>
      <c r="E193" s="33"/>
      <c r="F193" s="47"/>
    </row>
    <row r="194" spans="2:6" x14ac:dyDescent="0.25">
      <c r="B194" s="81"/>
      <c r="C194" s="9"/>
      <c r="D194" s="9"/>
      <c r="E194" s="33"/>
      <c r="F194" s="47"/>
    </row>
    <row r="195" spans="2:6" x14ac:dyDescent="0.25">
      <c r="B195" s="81"/>
      <c r="C195" s="9"/>
      <c r="D195" s="9"/>
      <c r="E195" s="33"/>
      <c r="F195" s="47"/>
    </row>
    <row r="196" spans="2:6" x14ac:dyDescent="0.25">
      <c r="B196" s="81"/>
      <c r="C196" s="9"/>
      <c r="D196" s="46"/>
      <c r="E196" s="84"/>
      <c r="F196" s="47"/>
    </row>
    <row r="197" spans="2:6" x14ac:dyDescent="0.25">
      <c r="B197" s="81"/>
      <c r="C197" s="9"/>
      <c r="D197" s="46"/>
      <c r="E197" s="84"/>
      <c r="F197" s="47"/>
    </row>
    <row r="198" spans="2:6" x14ac:dyDescent="0.25">
      <c r="B198" s="81"/>
      <c r="C198" s="9"/>
      <c r="D198" s="9"/>
      <c r="E198" s="33"/>
      <c r="F198" s="47"/>
    </row>
    <row r="199" spans="2:6" x14ac:dyDescent="0.25">
      <c r="B199" s="81"/>
      <c r="C199" s="9"/>
      <c r="D199" s="9"/>
      <c r="E199" s="33"/>
      <c r="F199" s="47"/>
    </row>
    <row r="200" spans="2:6" x14ac:dyDescent="0.25">
      <c r="B200" s="81"/>
      <c r="C200" s="9"/>
      <c r="D200" s="9"/>
      <c r="E200" s="33"/>
      <c r="F200" s="47"/>
    </row>
    <row r="201" spans="2:6" x14ac:dyDescent="0.25">
      <c r="B201" s="81"/>
      <c r="C201" s="9"/>
      <c r="D201" s="46"/>
      <c r="E201" s="84"/>
      <c r="F201" s="47"/>
    </row>
    <row r="202" spans="2:6" x14ac:dyDescent="0.25">
      <c r="B202" s="81"/>
      <c r="C202" s="9"/>
      <c r="D202" s="9"/>
      <c r="E202" s="33"/>
      <c r="F202" s="47"/>
    </row>
    <row r="203" spans="2:6" x14ac:dyDescent="0.25">
      <c r="B203" s="81"/>
      <c r="C203" s="9"/>
      <c r="D203" s="9"/>
      <c r="E203" s="33"/>
      <c r="F203" s="47"/>
    </row>
    <row r="204" spans="2:6" x14ac:dyDescent="0.25">
      <c r="B204" s="81"/>
      <c r="C204" s="9"/>
      <c r="D204" s="9"/>
      <c r="E204" s="33"/>
      <c r="F204" s="47"/>
    </row>
    <row r="205" spans="2:6" x14ac:dyDescent="0.25">
      <c r="B205" s="81"/>
      <c r="C205" s="9"/>
      <c r="D205" s="9"/>
      <c r="E205" s="33"/>
      <c r="F205" s="47"/>
    </row>
    <row r="206" spans="2:6" x14ac:dyDescent="0.25">
      <c r="B206" s="81"/>
      <c r="C206" s="9"/>
      <c r="D206" s="9"/>
      <c r="E206" s="33"/>
      <c r="F206" s="47"/>
    </row>
    <row r="207" spans="2:6" x14ac:dyDescent="0.25">
      <c r="B207" s="81"/>
      <c r="C207" s="9"/>
      <c r="D207" s="9"/>
      <c r="E207" s="33"/>
      <c r="F207" s="47"/>
    </row>
    <row r="208" spans="2:6" x14ac:dyDescent="0.25">
      <c r="B208" s="81"/>
      <c r="C208" s="9"/>
      <c r="D208" s="9"/>
      <c r="E208" s="33"/>
      <c r="F208" s="47"/>
    </row>
    <row r="209" spans="2:6" x14ac:dyDescent="0.25">
      <c r="B209" s="81"/>
      <c r="C209" s="9"/>
      <c r="D209" s="9"/>
      <c r="E209" s="33"/>
      <c r="F209" s="47"/>
    </row>
    <row r="210" spans="2:6" x14ac:dyDescent="0.25">
      <c r="B210" s="81"/>
      <c r="C210" s="9"/>
      <c r="D210" s="9"/>
      <c r="E210" s="33"/>
      <c r="F210" s="47"/>
    </row>
    <row r="211" spans="2:6" x14ac:dyDescent="0.25">
      <c r="B211" s="81"/>
      <c r="C211" s="9"/>
      <c r="D211" s="9"/>
      <c r="E211" s="33"/>
      <c r="F211" s="47"/>
    </row>
    <row r="212" spans="2:6" x14ac:dyDescent="0.25">
      <c r="B212" s="81"/>
      <c r="C212" s="9"/>
      <c r="D212" s="9"/>
      <c r="E212" s="33"/>
      <c r="F212" s="47"/>
    </row>
    <row r="213" spans="2:6" x14ac:dyDescent="0.25">
      <c r="B213" s="81"/>
      <c r="C213" s="9"/>
      <c r="D213" s="9"/>
      <c r="E213" s="33"/>
      <c r="F213" s="47"/>
    </row>
    <row r="214" spans="2:6" x14ac:dyDescent="0.25">
      <c r="B214" s="81"/>
      <c r="C214" s="9"/>
      <c r="D214" s="9"/>
      <c r="E214" s="33"/>
      <c r="F214" s="47"/>
    </row>
    <row r="215" spans="2:6" x14ac:dyDescent="0.25">
      <c r="B215" s="81"/>
      <c r="C215" s="9"/>
      <c r="D215" s="9"/>
      <c r="E215" s="33"/>
      <c r="F215" s="47"/>
    </row>
    <row r="216" spans="2:6" x14ac:dyDescent="0.25">
      <c r="B216" s="81"/>
      <c r="C216" s="9"/>
      <c r="D216" s="46"/>
      <c r="E216" s="84"/>
      <c r="F216" s="47"/>
    </row>
    <row r="217" spans="2:6" x14ac:dyDescent="0.25">
      <c r="B217" s="81"/>
      <c r="C217" s="9"/>
      <c r="D217" s="9"/>
      <c r="E217" s="33"/>
      <c r="F217" s="47"/>
    </row>
    <row r="218" spans="2:6" x14ac:dyDescent="0.25">
      <c r="B218" s="81"/>
      <c r="C218" s="9"/>
      <c r="D218" s="46"/>
      <c r="E218" s="84"/>
      <c r="F218" s="47"/>
    </row>
    <row r="219" spans="2:6" x14ac:dyDescent="0.25">
      <c r="B219" s="81"/>
      <c r="C219" s="9"/>
      <c r="D219" s="46"/>
      <c r="E219" s="84"/>
      <c r="F219" s="47"/>
    </row>
    <row r="220" spans="2:6" x14ac:dyDescent="0.25">
      <c r="B220" s="81"/>
      <c r="C220" s="9"/>
      <c r="D220" s="9"/>
      <c r="E220" s="33"/>
      <c r="F220" s="47"/>
    </row>
    <row r="221" spans="2:6" x14ac:dyDescent="0.25">
      <c r="B221" s="81"/>
      <c r="C221" s="9"/>
      <c r="D221" s="9"/>
      <c r="E221" s="33"/>
      <c r="F221" s="47"/>
    </row>
    <row r="222" spans="2:6" x14ac:dyDescent="0.25">
      <c r="B222" s="81"/>
      <c r="C222" s="9"/>
      <c r="D222" s="9"/>
      <c r="E222" s="33"/>
      <c r="F222" s="47"/>
    </row>
    <row r="223" spans="2:6" x14ac:dyDescent="0.25">
      <c r="B223" s="81"/>
      <c r="C223" s="9"/>
      <c r="D223" s="9"/>
      <c r="E223" s="33"/>
      <c r="F223" s="47"/>
    </row>
    <row r="224" spans="2:6" x14ac:dyDescent="0.25">
      <c r="B224" s="81"/>
      <c r="C224" s="9"/>
      <c r="D224" s="9"/>
      <c r="E224" s="33"/>
      <c r="F224" s="47"/>
    </row>
    <row r="225" spans="2:6" x14ac:dyDescent="0.25">
      <c r="B225" s="81"/>
      <c r="C225" s="9"/>
      <c r="D225" s="9"/>
      <c r="E225" s="33"/>
      <c r="F225" s="47"/>
    </row>
    <row r="226" spans="2:6" x14ac:dyDescent="0.25">
      <c r="B226" s="81"/>
      <c r="C226" s="9"/>
      <c r="D226" s="9"/>
      <c r="E226" s="33"/>
      <c r="F226" s="47"/>
    </row>
    <row r="227" spans="2:6" x14ac:dyDescent="0.25">
      <c r="B227" s="81"/>
      <c r="C227" s="9"/>
      <c r="D227" s="9"/>
      <c r="E227" s="33"/>
      <c r="F227" s="47"/>
    </row>
    <row r="228" spans="2:6" x14ac:dyDescent="0.25">
      <c r="B228" s="81"/>
      <c r="C228" s="9"/>
      <c r="D228" s="9"/>
      <c r="E228" s="33"/>
      <c r="F228" s="47"/>
    </row>
    <row r="229" spans="2:6" x14ac:dyDescent="0.25">
      <c r="B229" s="81"/>
      <c r="C229" s="9"/>
      <c r="D229" s="9"/>
      <c r="E229" s="33"/>
      <c r="F229" s="47"/>
    </row>
    <row r="230" spans="2:6" x14ac:dyDescent="0.25">
      <c r="B230" s="81"/>
      <c r="C230" s="9"/>
      <c r="D230" s="9"/>
      <c r="E230" s="33"/>
      <c r="F230" s="47"/>
    </row>
    <row r="231" spans="2:6" x14ac:dyDescent="0.25">
      <c r="B231" s="81"/>
      <c r="C231" s="9"/>
      <c r="D231" s="9"/>
      <c r="E231" s="33"/>
      <c r="F231" s="47"/>
    </row>
    <row r="232" spans="2:6" x14ac:dyDescent="0.25">
      <c r="B232" s="81"/>
      <c r="C232" s="9"/>
      <c r="D232" s="9"/>
      <c r="E232" s="33"/>
      <c r="F232" s="47"/>
    </row>
    <row r="233" spans="2:6" x14ac:dyDescent="0.25">
      <c r="B233" s="81"/>
      <c r="C233" s="9"/>
      <c r="D233" s="9"/>
      <c r="E233" s="33"/>
      <c r="F233" s="47"/>
    </row>
    <row r="234" spans="2:6" x14ac:dyDescent="0.25">
      <c r="B234" s="81"/>
      <c r="C234" s="9"/>
      <c r="D234" s="9"/>
      <c r="E234" s="33"/>
      <c r="F234" s="47"/>
    </row>
    <row r="235" spans="2:6" x14ac:dyDescent="0.25">
      <c r="B235" s="81"/>
      <c r="D235" s="50"/>
      <c r="E235" s="50"/>
      <c r="F235" s="47"/>
    </row>
    <row r="236" spans="2:6" x14ac:dyDescent="0.25">
      <c r="B236" s="81"/>
      <c r="C236" s="9"/>
      <c r="D236" s="46"/>
      <c r="E236" s="84"/>
      <c r="F236" s="47"/>
    </row>
    <row r="237" spans="2:6" x14ac:dyDescent="0.25">
      <c r="B237" s="81"/>
      <c r="C237" s="9"/>
      <c r="D237" s="9"/>
      <c r="E237" s="33"/>
      <c r="F237" s="47"/>
    </row>
    <row r="238" spans="2:6" x14ac:dyDescent="0.25">
      <c r="B238" s="81"/>
      <c r="C238" s="9"/>
      <c r="D238" s="9"/>
      <c r="E238" s="33"/>
      <c r="F238" s="47"/>
    </row>
    <row r="239" spans="2:6" x14ac:dyDescent="0.25">
      <c r="B239" s="81"/>
      <c r="C239" s="9"/>
      <c r="D239" s="9"/>
      <c r="E239" s="33"/>
      <c r="F239" s="47"/>
    </row>
    <row r="240" spans="2:6" x14ac:dyDescent="0.25">
      <c r="B240" s="81"/>
      <c r="C240" s="9"/>
      <c r="D240" s="9"/>
      <c r="E240" s="33"/>
      <c r="F240" s="47"/>
    </row>
    <row r="241" spans="2:6" x14ac:dyDescent="0.25">
      <c r="B241" s="81"/>
      <c r="C241" s="9"/>
      <c r="D241" s="9"/>
      <c r="E241" s="33"/>
      <c r="F241" s="47"/>
    </row>
    <row r="242" spans="2:6" x14ac:dyDescent="0.25">
      <c r="B242" s="81"/>
      <c r="C242" s="9"/>
      <c r="D242" s="9"/>
      <c r="E242" s="33"/>
      <c r="F242" s="47"/>
    </row>
    <row r="243" spans="2:6" x14ac:dyDescent="0.25">
      <c r="B243" s="81"/>
      <c r="C243" s="9"/>
      <c r="D243" s="9"/>
      <c r="E243" s="33"/>
      <c r="F243" s="47"/>
    </row>
    <row r="244" spans="2:6" x14ac:dyDescent="0.25">
      <c r="B244" s="81"/>
      <c r="C244" s="9"/>
      <c r="D244" s="9"/>
      <c r="E244" s="33"/>
      <c r="F244" s="47"/>
    </row>
    <row r="245" spans="2:6" x14ac:dyDescent="0.25">
      <c r="B245" s="81"/>
      <c r="C245" s="9"/>
      <c r="D245" s="9"/>
      <c r="E245" s="33"/>
      <c r="F245" s="47"/>
    </row>
    <row r="246" spans="2:6" x14ac:dyDescent="0.25">
      <c r="B246" s="81"/>
      <c r="C246" s="9"/>
      <c r="D246" s="9"/>
      <c r="E246" s="33"/>
      <c r="F246" s="47"/>
    </row>
    <row r="247" spans="2:6" x14ac:dyDescent="0.25">
      <c r="B247" s="81"/>
      <c r="C247" s="9"/>
      <c r="D247" s="9"/>
      <c r="E247" s="33"/>
      <c r="F247" s="47"/>
    </row>
    <row r="248" spans="2:6" x14ac:dyDescent="0.25">
      <c r="B248" s="81"/>
      <c r="C248" s="9"/>
      <c r="D248" s="9"/>
      <c r="E248" s="33"/>
      <c r="F248" s="47"/>
    </row>
    <row r="249" spans="2:6" x14ac:dyDescent="0.25">
      <c r="B249" s="81"/>
      <c r="C249" s="9"/>
      <c r="D249" s="9"/>
      <c r="E249" s="33"/>
      <c r="F249" s="47"/>
    </row>
    <row r="250" spans="2:6" x14ac:dyDescent="0.25">
      <c r="B250" s="81"/>
      <c r="C250" s="9"/>
      <c r="D250" s="9"/>
      <c r="E250" s="33"/>
      <c r="F250" s="47"/>
    </row>
    <row r="251" spans="2:6" x14ac:dyDescent="0.25">
      <c r="B251" s="81"/>
      <c r="C251" s="9"/>
      <c r="D251" s="9"/>
      <c r="E251" s="33"/>
      <c r="F251" s="47"/>
    </row>
    <row r="252" spans="2:6" x14ac:dyDescent="0.25">
      <c r="B252" s="81"/>
      <c r="C252" s="9"/>
      <c r="D252" s="9"/>
      <c r="E252" s="33"/>
      <c r="F252" s="47"/>
    </row>
    <row r="253" spans="2:6" x14ac:dyDescent="0.25">
      <c r="B253" s="81"/>
      <c r="C253" s="9"/>
      <c r="D253" s="9"/>
      <c r="E253" s="33"/>
      <c r="F253" s="47"/>
    </row>
    <row r="254" spans="2:6" x14ac:dyDescent="0.25">
      <c r="B254" s="81"/>
      <c r="C254" s="9"/>
      <c r="D254" s="46"/>
      <c r="E254" s="84"/>
      <c r="F254" s="47"/>
    </row>
    <row r="255" spans="2:6" x14ac:dyDescent="0.25">
      <c r="B255" s="81"/>
      <c r="C255" s="9"/>
      <c r="D255" s="48"/>
      <c r="E255" s="83"/>
      <c r="F255" s="47"/>
    </row>
    <row r="256" spans="2:6" x14ac:dyDescent="0.25">
      <c r="B256" s="81"/>
      <c r="C256" s="9"/>
      <c r="D256" s="9"/>
      <c r="E256" s="33"/>
      <c r="F256" s="47"/>
    </row>
    <row r="257" spans="2:6" x14ac:dyDescent="0.25">
      <c r="B257" s="81"/>
      <c r="C257" s="9"/>
      <c r="D257" s="9"/>
      <c r="E257" s="33"/>
      <c r="F257" s="47"/>
    </row>
    <row r="258" spans="2:6" x14ac:dyDescent="0.25">
      <c r="B258" s="81"/>
      <c r="C258" s="9"/>
      <c r="D258" s="9"/>
      <c r="E258" s="33"/>
      <c r="F258" s="47"/>
    </row>
    <row r="259" spans="2:6" x14ac:dyDescent="0.25">
      <c r="B259" s="81"/>
      <c r="C259" s="9"/>
      <c r="D259" s="9"/>
      <c r="E259" s="33"/>
      <c r="F259" s="47"/>
    </row>
    <row r="260" spans="2:6" x14ac:dyDescent="0.25">
      <c r="B260" s="81"/>
      <c r="C260" s="9"/>
      <c r="D260" s="9"/>
      <c r="E260" s="33"/>
      <c r="F260" s="47"/>
    </row>
    <row r="261" spans="2:6" x14ac:dyDescent="0.25">
      <c r="B261" s="81"/>
      <c r="C261" s="9"/>
      <c r="D261" s="9"/>
      <c r="E261" s="33"/>
      <c r="F261" s="47"/>
    </row>
    <row r="262" spans="2:6" x14ac:dyDescent="0.25">
      <c r="B262" s="81"/>
      <c r="C262" s="9"/>
      <c r="D262" s="9"/>
      <c r="E262" s="33"/>
      <c r="F262" s="47"/>
    </row>
    <row r="263" spans="2:6" x14ac:dyDescent="0.25">
      <c r="B263" s="81"/>
      <c r="C263" s="9"/>
      <c r="D263" s="9"/>
      <c r="E263" s="33"/>
      <c r="F263" s="47"/>
    </row>
    <row r="264" spans="2:6" x14ac:dyDescent="0.25">
      <c r="B264" s="81"/>
      <c r="C264" s="9"/>
      <c r="D264" s="9"/>
      <c r="E264" s="33"/>
      <c r="F264" s="47"/>
    </row>
    <row r="265" spans="2:6" x14ac:dyDescent="0.25">
      <c r="B265" s="81"/>
      <c r="C265" s="9"/>
      <c r="D265" s="9"/>
      <c r="E265" s="33"/>
      <c r="F265" s="47"/>
    </row>
    <row r="266" spans="2:6" x14ac:dyDescent="0.25">
      <c r="B266" s="81"/>
      <c r="C266" s="9"/>
      <c r="D266" s="9"/>
      <c r="E266" s="33"/>
      <c r="F266" s="47"/>
    </row>
    <row r="267" spans="2:6" x14ac:dyDescent="0.25">
      <c r="B267" s="81"/>
      <c r="C267" s="9"/>
      <c r="D267" s="9"/>
      <c r="E267" s="33"/>
      <c r="F267" s="47"/>
    </row>
    <row r="268" spans="2:6" x14ac:dyDescent="0.25">
      <c r="B268" s="81"/>
      <c r="C268" s="9"/>
      <c r="D268" s="9"/>
      <c r="E268" s="33"/>
      <c r="F268" s="47"/>
    </row>
    <row r="269" spans="2:6" x14ac:dyDescent="0.25">
      <c r="B269" s="81"/>
      <c r="C269" s="9"/>
      <c r="D269" s="9"/>
      <c r="E269" s="33"/>
      <c r="F269" s="47"/>
    </row>
    <row r="270" spans="2:6" x14ac:dyDescent="0.25">
      <c r="B270" s="81"/>
      <c r="C270" s="9"/>
      <c r="D270" s="9"/>
      <c r="E270" s="33"/>
      <c r="F270" s="47"/>
    </row>
    <row r="271" spans="2:6" x14ac:dyDescent="0.25">
      <c r="B271" s="81"/>
      <c r="C271" s="9"/>
      <c r="D271" s="9"/>
      <c r="E271" s="33"/>
      <c r="F271" s="47"/>
    </row>
    <row r="272" spans="2:6" x14ac:dyDescent="0.25">
      <c r="B272" s="81"/>
      <c r="C272" s="9"/>
      <c r="D272" s="48"/>
      <c r="E272" s="83"/>
      <c r="F272" s="47"/>
    </row>
    <row r="273" spans="2:6" x14ac:dyDescent="0.25">
      <c r="B273" s="81"/>
      <c r="C273" s="9"/>
      <c r="D273" s="46"/>
      <c r="E273" s="84"/>
      <c r="F273" s="47"/>
    </row>
    <row r="274" spans="2:6" x14ac:dyDescent="0.25">
      <c r="B274" s="81"/>
      <c r="C274" s="9"/>
      <c r="D274" s="9"/>
      <c r="E274" s="33"/>
      <c r="F274" s="47"/>
    </row>
    <row r="275" spans="2:6" x14ac:dyDescent="0.25">
      <c r="B275" s="81"/>
      <c r="C275" s="9"/>
      <c r="D275" s="9"/>
      <c r="E275" s="33"/>
      <c r="F275" s="47"/>
    </row>
    <row r="276" spans="2:6" x14ac:dyDescent="0.25">
      <c r="B276" s="81"/>
      <c r="C276" s="9"/>
      <c r="D276" s="9"/>
      <c r="E276" s="33"/>
      <c r="F276" s="47"/>
    </row>
    <row r="277" spans="2:6" x14ac:dyDescent="0.25">
      <c r="B277" s="81"/>
      <c r="C277" s="9"/>
      <c r="D277" s="9"/>
      <c r="E277" s="33"/>
      <c r="F277" s="47"/>
    </row>
    <row r="278" spans="2:6" x14ac:dyDescent="0.25">
      <c r="B278" s="81"/>
      <c r="C278" s="9"/>
      <c r="D278" s="9"/>
      <c r="E278" s="33"/>
      <c r="F278" s="47"/>
    </row>
    <row r="279" spans="2:6" x14ac:dyDescent="0.25">
      <c r="B279" s="81"/>
      <c r="C279" s="9"/>
      <c r="D279" s="9"/>
      <c r="E279" s="33"/>
      <c r="F279" s="47"/>
    </row>
    <row r="280" spans="2:6" x14ac:dyDescent="0.25">
      <c r="B280" s="81"/>
      <c r="C280" s="9"/>
      <c r="D280" s="9"/>
      <c r="E280" s="33"/>
      <c r="F280" s="47"/>
    </row>
    <row r="281" spans="2:6" x14ac:dyDescent="0.25">
      <c r="B281" s="81"/>
      <c r="C281" s="9"/>
      <c r="D281" s="9"/>
      <c r="E281" s="33"/>
      <c r="F281" s="47"/>
    </row>
    <row r="282" spans="2:6" x14ac:dyDescent="0.25">
      <c r="B282" s="81"/>
      <c r="C282" s="9"/>
      <c r="D282" s="9"/>
      <c r="E282" s="33"/>
      <c r="F282" s="47"/>
    </row>
    <row r="283" spans="2:6" x14ac:dyDescent="0.25">
      <c r="B283" s="81"/>
      <c r="C283" s="9"/>
      <c r="D283" s="9"/>
      <c r="E283" s="33"/>
      <c r="F283" s="47"/>
    </row>
    <row r="284" spans="2:6" x14ac:dyDescent="0.25">
      <c r="B284" s="81"/>
      <c r="C284" s="9"/>
      <c r="D284" s="9"/>
      <c r="E284" s="33"/>
      <c r="F284" s="47"/>
    </row>
    <row r="285" spans="2:6" x14ac:dyDescent="0.25">
      <c r="B285" s="81"/>
      <c r="C285" s="9"/>
      <c r="D285" s="9"/>
      <c r="E285" s="33"/>
      <c r="F285" s="47"/>
    </row>
    <row r="286" spans="2:6" x14ac:dyDescent="0.25">
      <c r="B286" s="81"/>
      <c r="C286" s="9"/>
      <c r="D286" s="9"/>
      <c r="E286" s="33"/>
      <c r="F286" s="47"/>
    </row>
    <row r="287" spans="2:6" x14ac:dyDescent="0.25">
      <c r="B287" s="81"/>
      <c r="C287" s="9"/>
      <c r="D287" s="9"/>
      <c r="E287" s="33"/>
      <c r="F287" s="47"/>
    </row>
    <row r="288" spans="2:6" x14ac:dyDescent="0.25">
      <c r="B288" s="81"/>
      <c r="C288" s="9"/>
      <c r="D288" s="46"/>
      <c r="E288" s="84"/>
      <c r="F288" s="47"/>
    </row>
    <row r="289" spans="2:6" x14ac:dyDescent="0.25">
      <c r="B289" s="81"/>
      <c r="C289" s="9"/>
      <c r="D289" s="9"/>
      <c r="E289" s="33"/>
      <c r="F289" s="47"/>
    </row>
    <row r="290" spans="2:6" x14ac:dyDescent="0.25">
      <c r="B290" s="81"/>
      <c r="C290" s="9"/>
      <c r="D290" s="9"/>
      <c r="E290" s="33"/>
      <c r="F290" s="47"/>
    </row>
    <row r="291" spans="2:6" x14ac:dyDescent="0.25">
      <c r="B291" s="81"/>
      <c r="C291" s="9"/>
      <c r="D291" s="46"/>
      <c r="E291" s="84"/>
      <c r="F291" s="47"/>
    </row>
    <row r="292" spans="2:6" x14ac:dyDescent="0.25">
      <c r="B292" s="81"/>
      <c r="C292" s="9"/>
      <c r="D292" s="9"/>
      <c r="E292" s="33"/>
      <c r="F292" s="47"/>
    </row>
    <row r="293" spans="2:6" x14ac:dyDescent="0.25">
      <c r="B293" s="81"/>
      <c r="C293" s="9"/>
      <c r="D293" s="9"/>
      <c r="E293" s="33"/>
      <c r="F293" s="47"/>
    </row>
    <row r="294" spans="2:6" x14ac:dyDescent="0.25">
      <c r="B294" s="81"/>
      <c r="C294" s="9"/>
      <c r="D294" s="9"/>
      <c r="E294" s="33"/>
      <c r="F294" s="47"/>
    </row>
    <row r="295" spans="2:6" x14ac:dyDescent="0.25">
      <c r="B295" s="81"/>
      <c r="C295" s="9"/>
      <c r="D295" s="9"/>
      <c r="E295" s="33"/>
      <c r="F295" s="47"/>
    </row>
    <row r="296" spans="2:6" x14ac:dyDescent="0.25">
      <c r="B296" s="81"/>
      <c r="C296" s="9"/>
      <c r="D296" s="9"/>
      <c r="E296" s="33"/>
      <c r="F296" s="47"/>
    </row>
    <row r="297" spans="2:6" x14ac:dyDescent="0.25">
      <c r="B297" s="81"/>
      <c r="C297" s="9"/>
      <c r="D297" s="9"/>
      <c r="E297" s="33"/>
      <c r="F297" s="47"/>
    </row>
    <row r="298" spans="2:6" x14ac:dyDescent="0.25">
      <c r="B298" s="81"/>
      <c r="C298" s="9"/>
      <c r="D298" s="9"/>
      <c r="E298" s="33"/>
      <c r="F298" s="47"/>
    </row>
    <row r="299" spans="2:6" x14ac:dyDescent="0.25">
      <c r="B299" s="81"/>
      <c r="C299" s="9"/>
      <c r="D299" s="9"/>
      <c r="E299" s="33"/>
      <c r="F299" s="47"/>
    </row>
    <row r="300" spans="2:6" x14ac:dyDescent="0.25">
      <c r="B300" s="81"/>
      <c r="C300" s="9"/>
      <c r="D300" s="9"/>
      <c r="E300" s="33"/>
      <c r="F300" s="47"/>
    </row>
    <row r="301" spans="2:6" x14ac:dyDescent="0.25">
      <c r="B301" s="81"/>
      <c r="C301" s="9"/>
      <c r="D301" s="9"/>
      <c r="E301" s="33"/>
      <c r="F301" s="47"/>
    </row>
    <row r="302" spans="2:6" x14ac:dyDescent="0.25">
      <c r="B302" s="81"/>
      <c r="C302" s="9"/>
      <c r="D302" s="9"/>
      <c r="E302" s="33"/>
      <c r="F302" s="47"/>
    </row>
    <row r="303" spans="2:6" x14ac:dyDescent="0.25">
      <c r="B303" s="81"/>
      <c r="C303" s="9"/>
      <c r="D303" s="9"/>
      <c r="E303" s="33"/>
      <c r="F303" s="47"/>
    </row>
    <row r="304" spans="2:6" x14ac:dyDescent="0.25">
      <c r="B304" s="81"/>
      <c r="C304" s="9"/>
      <c r="D304" s="9"/>
      <c r="E304" s="33"/>
      <c r="F304" s="47"/>
    </row>
    <row r="305" spans="2:6" x14ac:dyDescent="0.25">
      <c r="B305" s="81"/>
      <c r="C305" s="9"/>
      <c r="D305" s="9"/>
      <c r="E305" s="33"/>
      <c r="F305" s="47"/>
    </row>
    <row r="306" spans="2:6" x14ac:dyDescent="0.25">
      <c r="B306" s="81"/>
      <c r="C306" s="9"/>
      <c r="D306" s="9"/>
      <c r="E306" s="33"/>
      <c r="F306" s="47"/>
    </row>
    <row r="307" spans="2:6" x14ac:dyDescent="0.25">
      <c r="B307" s="81"/>
      <c r="C307" s="9"/>
      <c r="D307" s="9"/>
      <c r="E307" s="33"/>
      <c r="F307" s="47"/>
    </row>
    <row r="308" spans="2:6" x14ac:dyDescent="0.25">
      <c r="B308" s="81"/>
      <c r="C308" s="9"/>
      <c r="D308" s="9"/>
      <c r="E308" s="33"/>
      <c r="F308" s="47"/>
    </row>
    <row r="309" spans="2:6" x14ac:dyDescent="0.25">
      <c r="B309" s="81"/>
      <c r="C309" s="9"/>
      <c r="D309" s="46"/>
      <c r="E309" s="84"/>
      <c r="F309" s="47"/>
    </row>
    <row r="310" spans="2:6" x14ac:dyDescent="0.25">
      <c r="B310" s="81"/>
      <c r="C310" s="9"/>
      <c r="D310" s="9"/>
      <c r="E310" s="33"/>
      <c r="F310" s="47"/>
    </row>
    <row r="311" spans="2:6" x14ac:dyDescent="0.25">
      <c r="B311" s="81"/>
      <c r="C311" s="9"/>
      <c r="D311" s="9"/>
      <c r="E311" s="33"/>
      <c r="F311" s="47"/>
    </row>
    <row r="312" spans="2:6" x14ac:dyDescent="0.25">
      <c r="B312" s="81"/>
      <c r="C312" s="9"/>
      <c r="D312" s="9"/>
      <c r="E312" s="33"/>
      <c r="F312" s="47"/>
    </row>
    <row r="313" spans="2:6" x14ac:dyDescent="0.25">
      <c r="B313" s="81"/>
      <c r="C313" s="9"/>
      <c r="D313" s="9"/>
      <c r="E313" s="33"/>
      <c r="F313" s="47"/>
    </row>
    <row r="314" spans="2:6" x14ac:dyDescent="0.25">
      <c r="B314" s="81"/>
      <c r="C314" s="9"/>
      <c r="D314" s="9"/>
      <c r="E314" s="33"/>
      <c r="F314" s="47"/>
    </row>
    <row r="315" spans="2:6" x14ac:dyDescent="0.25">
      <c r="B315" s="81"/>
      <c r="C315" s="9"/>
      <c r="D315" s="9"/>
      <c r="E315" s="33"/>
      <c r="F315" s="47"/>
    </row>
    <row r="316" spans="2:6" x14ac:dyDescent="0.25">
      <c r="B316" s="81"/>
      <c r="C316" s="9"/>
      <c r="D316" s="9"/>
      <c r="E316" s="33"/>
      <c r="F316" s="47"/>
    </row>
    <row r="317" spans="2:6" x14ac:dyDescent="0.25">
      <c r="B317" s="81"/>
      <c r="C317" s="9"/>
      <c r="D317" s="9"/>
      <c r="E317" s="33"/>
      <c r="F317" s="47"/>
    </row>
    <row r="318" spans="2:6" x14ac:dyDescent="0.25">
      <c r="B318" s="81"/>
      <c r="C318" s="9"/>
      <c r="D318" s="9"/>
      <c r="E318" s="33"/>
      <c r="F318" s="47"/>
    </row>
    <row r="319" spans="2:6" x14ac:dyDescent="0.25">
      <c r="B319" s="81"/>
      <c r="C319" s="9"/>
      <c r="D319" s="9"/>
      <c r="E319" s="33"/>
      <c r="F319" s="47"/>
    </row>
    <row r="320" spans="2:6" x14ac:dyDescent="0.25">
      <c r="B320" s="81"/>
      <c r="C320" s="9"/>
      <c r="D320" s="9"/>
      <c r="E320" s="33"/>
      <c r="F320" s="47"/>
    </row>
    <row r="321" spans="2:6" x14ac:dyDescent="0.25">
      <c r="B321" s="81"/>
      <c r="C321" s="9"/>
      <c r="D321" s="9"/>
      <c r="E321" s="33"/>
      <c r="F321" s="47"/>
    </row>
    <row r="322" spans="2:6" x14ac:dyDescent="0.25">
      <c r="B322" s="81"/>
      <c r="C322" s="9"/>
      <c r="D322" s="9"/>
      <c r="E322" s="33"/>
      <c r="F322" s="47"/>
    </row>
    <row r="323" spans="2:6" x14ac:dyDescent="0.25">
      <c r="B323" s="81"/>
      <c r="C323" s="9"/>
      <c r="D323" s="9"/>
      <c r="E323" s="33"/>
      <c r="F323" s="47"/>
    </row>
    <row r="324" spans="2:6" x14ac:dyDescent="0.25">
      <c r="B324" s="81"/>
      <c r="C324" s="9"/>
      <c r="D324" s="46"/>
      <c r="E324" s="84"/>
      <c r="F324" s="47"/>
    </row>
    <row r="325" spans="2:6" x14ac:dyDescent="0.25">
      <c r="B325" s="81"/>
      <c r="C325" s="9"/>
      <c r="D325" s="46"/>
      <c r="E325" s="84"/>
      <c r="F325" s="47"/>
    </row>
    <row r="326" spans="2:6" x14ac:dyDescent="0.25">
      <c r="B326" s="81"/>
      <c r="C326" s="9"/>
      <c r="D326" s="9"/>
      <c r="E326" s="33"/>
      <c r="F326" s="47"/>
    </row>
    <row r="327" spans="2:6" x14ac:dyDescent="0.25">
      <c r="B327" s="81"/>
      <c r="C327" s="9"/>
      <c r="D327" s="46"/>
      <c r="E327" s="84"/>
      <c r="F327" s="47"/>
    </row>
    <row r="328" spans="2:6" x14ac:dyDescent="0.25">
      <c r="B328" s="81"/>
      <c r="C328" s="9"/>
      <c r="D328" s="9"/>
      <c r="E328" s="33"/>
      <c r="F328" s="47"/>
    </row>
    <row r="329" spans="2:6" x14ac:dyDescent="0.25">
      <c r="B329" s="81"/>
      <c r="C329" s="9"/>
      <c r="D329" s="9"/>
      <c r="E329" s="33"/>
      <c r="F329" s="47"/>
    </row>
    <row r="330" spans="2:6" x14ac:dyDescent="0.25">
      <c r="B330" s="81"/>
      <c r="C330" s="9"/>
      <c r="D330" s="46"/>
      <c r="E330" s="84"/>
      <c r="F330" s="47"/>
    </row>
    <row r="331" spans="2:6" x14ac:dyDescent="0.25">
      <c r="B331" s="81"/>
      <c r="C331" s="9"/>
      <c r="D331" s="46"/>
      <c r="E331" s="84"/>
      <c r="F331" s="47"/>
    </row>
    <row r="332" spans="2:6" x14ac:dyDescent="0.25">
      <c r="B332" s="81"/>
      <c r="C332" s="9"/>
      <c r="D332" s="9"/>
      <c r="E332" s="33"/>
      <c r="F332" s="47"/>
    </row>
    <row r="333" spans="2:6" x14ac:dyDescent="0.25">
      <c r="B333" s="81"/>
      <c r="C333" s="9"/>
      <c r="D333" s="9"/>
      <c r="E333" s="33"/>
      <c r="F333" s="47"/>
    </row>
    <row r="334" spans="2:6" x14ac:dyDescent="0.25">
      <c r="B334" s="81"/>
      <c r="C334" s="9"/>
      <c r="D334" s="46"/>
      <c r="E334" s="84"/>
      <c r="F334" s="47"/>
    </row>
    <row r="335" spans="2:6" x14ac:dyDescent="0.25">
      <c r="B335" s="81"/>
      <c r="C335" s="9"/>
      <c r="D335" s="9"/>
      <c r="E335" s="33"/>
      <c r="F335" s="47"/>
    </row>
    <row r="336" spans="2:6" x14ac:dyDescent="0.25">
      <c r="B336" s="81"/>
      <c r="C336" s="9"/>
      <c r="D336" s="9"/>
      <c r="E336" s="33"/>
      <c r="F336" s="47"/>
    </row>
    <row r="337" spans="2:6" x14ac:dyDescent="0.25">
      <c r="B337" s="81"/>
      <c r="C337" s="9"/>
      <c r="D337" s="9"/>
      <c r="E337" s="33"/>
      <c r="F337" s="47"/>
    </row>
    <row r="338" spans="2:6" x14ac:dyDescent="0.25">
      <c r="B338" s="81"/>
      <c r="C338" s="9"/>
      <c r="D338" s="9"/>
      <c r="E338" s="33"/>
      <c r="F338" s="47"/>
    </row>
    <row r="339" spans="2:6" x14ac:dyDescent="0.25">
      <c r="B339" s="81"/>
      <c r="C339" s="9"/>
      <c r="D339" s="9"/>
      <c r="E339" s="33"/>
      <c r="F339" s="47"/>
    </row>
    <row r="340" spans="2:6" x14ac:dyDescent="0.25">
      <c r="B340" s="81"/>
      <c r="C340" s="9"/>
      <c r="D340" s="9"/>
      <c r="E340" s="33"/>
      <c r="F340" s="47"/>
    </row>
    <row r="341" spans="2:6" x14ac:dyDescent="0.25">
      <c r="B341" s="81"/>
      <c r="C341" s="9"/>
      <c r="D341" s="9"/>
      <c r="E341" s="33"/>
      <c r="F341" s="47"/>
    </row>
    <row r="342" spans="2:6" x14ac:dyDescent="0.25">
      <c r="B342" s="81"/>
      <c r="C342" s="9"/>
      <c r="D342" s="9"/>
      <c r="E342" s="33"/>
      <c r="F342" s="47"/>
    </row>
    <row r="343" spans="2:6" x14ac:dyDescent="0.25">
      <c r="B343" s="81"/>
      <c r="C343" s="9"/>
      <c r="D343" s="9"/>
      <c r="E343" s="33"/>
      <c r="F343" s="47"/>
    </row>
    <row r="344" spans="2:6" x14ac:dyDescent="0.25">
      <c r="B344" s="81"/>
      <c r="C344" s="9"/>
      <c r="D344" s="46"/>
      <c r="E344" s="84"/>
      <c r="F344" s="87"/>
    </row>
    <row r="345" spans="2:6" x14ac:dyDescent="0.25">
      <c r="B345" s="81"/>
      <c r="C345" s="9"/>
      <c r="D345" s="46"/>
      <c r="E345" s="84"/>
      <c r="F345" s="47"/>
    </row>
    <row r="346" spans="2:6" x14ac:dyDescent="0.25">
      <c r="B346" s="81"/>
      <c r="C346" s="9"/>
      <c r="D346" s="9"/>
      <c r="E346" s="33"/>
      <c r="F346" s="47"/>
    </row>
    <row r="347" spans="2:6" x14ac:dyDescent="0.25">
      <c r="B347" s="81"/>
      <c r="C347" s="9"/>
      <c r="D347" s="9"/>
      <c r="E347" s="33"/>
      <c r="F347" s="47"/>
    </row>
    <row r="348" spans="2:6" x14ac:dyDescent="0.25">
      <c r="B348" s="81"/>
      <c r="C348" s="9"/>
      <c r="D348" s="9"/>
      <c r="E348" s="33"/>
      <c r="F348" s="47"/>
    </row>
    <row r="349" spans="2:6" x14ac:dyDescent="0.25">
      <c r="B349" s="81"/>
      <c r="C349" s="9"/>
      <c r="D349" s="9"/>
      <c r="E349" s="33"/>
      <c r="F349" s="47"/>
    </row>
    <row r="350" spans="2:6" x14ac:dyDescent="0.25">
      <c r="B350" s="81"/>
      <c r="C350" s="9"/>
      <c r="D350" s="9"/>
      <c r="E350" s="33"/>
      <c r="F350" s="47"/>
    </row>
    <row r="351" spans="2:6" x14ac:dyDescent="0.25">
      <c r="B351" s="81"/>
      <c r="C351" s="9"/>
      <c r="D351" s="46"/>
      <c r="E351" s="84"/>
      <c r="F351" s="47"/>
    </row>
    <row r="352" spans="2:6" x14ac:dyDescent="0.25">
      <c r="B352" s="81"/>
      <c r="C352" s="9"/>
      <c r="D352" s="9"/>
      <c r="E352" s="33"/>
      <c r="F352" s="47"/>
    </row>
    <row r="353" spans="2:6" x14ac:dyDescent="0.25">
      <c r="B353" s="81"/>
      <c r="C353" s="9"/>
      <c r="D353" s="9"/>
      <c r="E353" s="33"/>
      <c r="F353" s="47"/>
    </row>
    <row r="354" spans="2:6" x14ac:dyDescent="0.25">
      <c r="B354" s="81"/>
      <c r="C354" s="9"/>
      <c r="D354" s="9"/>
      <c r="E354" s="33"/>
      <c r="F354" s="47"/>
    </row>
    <row r="355" spans="2:6" x14ac:dyDescent="0.25">
      <c r="B355" s="81"/>
      <c r="C355" s="9"/>
      <c r="D355" s="9"/>
      <c r="E355" s="33"/>
      <c r="F355" s="47"/>
    </row>
    <row r="356" spans="2:6" x14ac:dyDescent="0.25">
      <c r="B356" s="81"/>
      <c r="C356" s="9"/>
      <c r="D356" s="9"/>
      <c r="E356" s="33"/>
      <c r="F356" s="47"/>
    </row>
    <row r="357" spans="2:6" x14ac:dyDescent="0.25">
      <c r="B357" s="81"/>
      <c r="C357" s="9"/>
      <c r="D357" s="48"/>
      <c r="E357" s="83"/>
      <c r="F357" s="47"/>
    </row>
    <row r="358" spans="2:6" x14ac:dyDescent="0.25">
      <c r="B358" s="81"/>
      <c r="C358" s="9"/>
      <c r="D358" s="9"/>
      <c r="E358" s="33"/>
      <c r="F358" s="47"/>
    </row>
    <row r="359" spans="2:6" x14ac:dyDescent="0.25">
      <c r="B359" s="81"/>
      <c r="C359" s="9"/>
      <c r="D359" s="9"/>
      <c r="E359" s="33"/>
      <c r="F359" s="47"/>
    </row>
    <row r="360" spans="2:6" x14ac:dyDescent="0.25">
      <c r="B360" s="81"/>
      <c r="C360" s="9"/>
      <c r="D360" s="9"/>
      <c r="E360" s="33"/>
      <c r="F360" s="47"/>
    </row>
    <row r="361" spans="2:6" x14ac:dyDescent="0.25">
      <c r="B361" s="81"/>
      <c r="C361" s="9"/>
      <c r="D361" s="9"/>
      <c r="E361" s="33"/>
      <c r="F361" s="47"/>
    </row>
    <row r="362" spans="2:6" x14ac:dyDescent="0.25">
      <c r="B362" s="81"/>
      <c r="C362" s="9"/>
      <c r="D362" s="9"/>
      <c r="E362" s="33"/>
      <c r="F362" s="47"/>
    </row>
    <row r="363" spans="2:6" x14ac:dyDescent="0.25">
      <c r="B363" s="81"/>
      <c r="C363" s="9"/>
      <c r="D363" s="9"/>
      <c r="E363" s="33"/>
      <c r="F363" s="47"/>
    </row>
    <row r="364" spans="2:6" x14ac:dyDescent="0.25">
      <c r="B364" s="81"/>
      <c r="C364" s="9"/>
      <c r="D364" s="9"/>
      <c r="E364" s="33"/>
      <c r="F364" s="47"/>
    </row>
    <row r="365" spans="2:6" x14ac:dyDescent="0.25">
      <c r="B365" s="81"/>
      <c r="C365" s="9"/>
      <c r="D365" s="9"/>
      <c r="E365" s="33"/>
      <c r="F365" s="47"/>
    </row>
    <row r="366" spans="2:6" x14ac:dyDescent="0.25">
      <c r="B366" s="81"/>
      <c r="C366" s="9"/>
      <c r="D366" s="9"/>
      <c r="E366" s="33"/>
      <c r="F366" s="47"/>
    </row>
    <row r="367" spans="2:6" x14ac:dyDescent="0.25">
      <c r="B367" s="81"/>
      <c r="C367" s="9"/>
      <c r="D367" s="9"/>
      <c r="E367" s="33"/>
      <c r="F367" s="47"/>
    </row>
    <row r="368" spans="2:6" x14ac:dyDescent="0.25">
      <c r="B368" s="81"/>
      <c r="C368" s="9"/>
      <c r="D368" s="46"/>
      <c r="E368" s="84"/>
      <c r="F368" s="47"/>
    </row>
    <row r="369" spans="2:6" x14ac:dyDescent="0.25">
      <c r="B369" s="81"/>
      <c r="C369" s="9"/>
      <c r="D369" s="9"/>
      <c r="E369" s="33"/>
      <c r="F369" s="47"/>
    </row>
    <row r="370" spans="2:6" x14ac:dyDescent="0.25">
      <c r="B370" s="81"/>
      <c r="C370" s="9"/>
      <c r="D370" s="9"/>
      <c r="E370" s="33"/>
      <c r="F370" s="47"/>
    </row>
    <row r="371" spans="2:6" x14ac:dyDescent="0.25">
      <c r="B371" s="81"/>
      <c r="C371" s="9"/>
      <c r="D371" s="9"/>
      <c r="E371" s="33"/>
      <c r="F371" s="47"/>
    </row>
    <row r="372" spans="2:6" x14ac:dyDescent="0.25">
      <c r="B372" s="81"/>
      <c r="C372" s="9"/>
      <c r="D372" s="9"/>
      <c r="E372" s="33"/>
      <c r="F372" s="47"/>
    </row>
    <row r="373" spans="2:6" x14ac:dyDescent="0.25">
      <c r="B373" s="81"/>
      <c r="C373" s="9"/>
      <c r="D373" s="9"/>
      <c r="E373" s="33"/>
      <c r="F373" s="47"/>
    </row>
    <row r="374" spans="2:6" x14ac:dyDescent="0.25">
      <c r="B374" s="81"/>
      <c r="C374" s="9"/>
      <c r="D374" s="9"/>
      <c r="E374" s="33"/>
      <c r="F374" s="47"/>
    </row>
    <row r="375" spans="2:6" x14ac:dyDescent="0.25">
      <c r="B375" s="81"/>
      <c r="C375" s="9"/>
      <c r="D375" s="9"/>
      <c r="E375" s="33"/>
      <c r="F375" s="47"/>
    </row>
    <row r="376" spans="2:6" x14ac:dyDescent="0.25">
      <c r="B376" s="81"/>
      <c r="C376" s="9"/>
      <c r="D376" s="9"/>
      <c r="E376" s="33"/>
      <c r="F376" s="47"/>
    </row>
    <row r="377" spans="2:6" x14ac:dyDescent="0.25">
      <c r="B377" s="81"/>
      <c r="C377" s="9"/>
      <c r="D377" s="9"/>
      <c r="E377" s="33"/>
      <c r="F377" s="47"/>
    </row>
    <row r="378" spans="2:6" x14ac:dyDescent="0.25">
      <c r="B378" s="81"/>
      <c r="C378" s="9"/>
      <c r="D378" s="9"/>
      <c r="E378" s="33"/>
      <c r="F378" s="47"/>
    </row>
    <row r="379" spans="2:6" x14ac:dyDescent="0.25">
      <c r="B379" s="81"/>
      <c r="C379" s="9"/>
      <c r="D379" s="9"/>
      <c r="E379" s="33"/>
      <c r="F379" s="47"/>
    </row>
    <row r="380" spans="2:6" x14ac:dyDescent="0.25">
      <c r="B380" s="81"/>
      <c r="C380" s="9"/>
      <c r="D380" s="46"/>
      <c r="E380" s="84"/>
      <c r="F380" s="47"/>
    </row>
    <row r="381" spans="2:6" x14ac:dyDescent="0.25">
      <c r="B381" s="81"/>
      <c r="C381" s="9"/>
      <c r="D381" s="49"/>
      <c r="E381" s="85"/>
      <c r="F381" s="47"/>
    </row>
    <row r="382" spans="2:6" x14ac:dyDescent="0.25">
      <c r="B382" s="81"/>
      <c r="C382" s="9"/>
      <c r="D382" s="9"/>
      <c r="E382" s="33"/>
      <c r="F382" s="47"/>
    </row>
    <row r="383" spans="2:6" x14ac:dyDescent="0.25">
      <c r="B383" s="81"/>
      <c r="C383" s="9"/>
      <c r="D383" s="9"/>
      <c r="E383" s="33"/>
      <c r="F383" s="47"/>
    </row>
    <row r="384" spans="2:6" x14ac:dyDescent="0.25">
      <c r="B384" s="81"/>
      <c r="C384" s="9"/>
      <c r="D384" s="46"/>
      <c r="E384" s="84"/>
      <c r="F384" s="47"/>
    </row>
    <row r="385" spans="2:6" x14ac:dyDescent="0.25">
      <c r="B385" s="81"/>
      <c r="C385" s="9"/>
      <c r="D385" s="9"/>
      <c r="E385" s="33"/>
      <c r="F385" s="47"/>
    </row>
    <row r="386" spans="2:6" x14ac:dyDescent="0.25">
      <c r="B386" s="81"/>
      <c r="C386" s="9"/>
      <c r="D386" s="49"/>
      <c r="E386" s="85"/>
      <c r="F386" s="47"/>
    </row>
    <row r="387" spans="2:6" x14ac:dyDescent="0.25">
      <c r="B387" s="81"/>
      <c r="C387" s="9"/>
      <c r="D387" s="9"/>
      <c r="E387" s="33"/>
      <c r="F387" s="47"/>
    </row>
    <row r="388" spans="2:6" x14ac:dyDescent="0.25">
      <c r="B388" s="81"/>
      <c r="C388" s="9"/>
      <c r="D388" s="9"/>
      <c r="E388" s="33"/>
      <c r="F388" s="47"/>
    </row>
    <row r="389" spans="2:6" x14ac:dyDescent="0.25">
      <c r="B389" s="81"/>
      <c r="C389" s="9"/>
      <c r="D389" s="9"/>
      <c r="E389" s="33"/>
      <c r="F389" s="47"/>
    </row>
    <row r="390" spans="2:6" x14ac:dyDescent="0.25">
      <c r="B390" s="81"/>
      <c r="C390" s="9"/>
      <c r="D390" s="49"/>
      <c r="E390" s="85"/>
      <c r="F390" s="47"/>
    </row>
    <row r="391" spans="2:6" x14ac:dyDescent="0.25">
      <c r="B391" s="81"/>
      <c r="C391" s="9"/>
      <c r="D391" s="9"/>
      <c r="E391" s="33"/>
      <c r="F391" s="47"/>
    </row>
    <row r="392" spans="2:6" x14ac:dyDescent="0.25">
      <c r="B392" s="81"/>
      <c r="C392" s="9"/>
      <c r="D392" s="9"/>
      <c r="E392" s="33"/>
      <c r="F392" s="47"/>
    </row>
    <row r="393" spans="2:6" x14ac:dyDescent="0.25">
      <c r="B393" s="81"/>
      <c r="C393" s="9"/>
      <c r="D393" s="9"/>
      <c r="E393" s="33"/>
      <c r="F393" s="47"/>
    </row>
    <row r="394" spans="2:6" x14ac:dyDescent="0.25">
      <c r="B394" s="81"/>
      <c r="C394" s="9"/>
      <c r="D394" s="49"/>
      <c r="E394" s="85"/>
      <c r="F394" s="47"/>
    </row>
    <row r="395" spans="2:6" x14ac:dyDescent="0.25">
      <c r="B395" s="81"/>
      <c r="C395" s="9"/>
      <c r="D395" s="46"/>
      <c r="E395" s="84"/>
      <c r="F395" s="47"/>
    </row>
    <row r="396" spans="2:6" x14ac:dyDescent="0.25">
      <c r="B396" s="81"/>
      <c r="C396" s="9"/>
      <c r="D396" s="46"/>
      <c r="E396" s="84"/>
      <c r="F396" s="47"/>
    </row>
    <row r="397" spans="2:6" x14ac:dyDescent="0.25">
      <c r="B397" s="81"/>
      <c r="C397" s="9"/>
      <c r="D397" s="46"/>
      <c r="E397" s="84"/>
      <c r="F397" s="47"/>
    </row>
    <row r="398" spans="2:6" x14ac:dyDescent="0.25">
      <c r="B398" s="81"/>
      <c r="C398" s="9"/>
      <c r="D398" s="9"/>
      <c r="E398" s="33"/>
      <c r="F398" s="47"/>
    </row>
    <row r="399" spans="2:6" x14ac:dyDescent="0.25">
      <c r="B399" s="81"/>
      <c r="C399" s="9"/>
      <c r="D399" s="9"/>
      <c r="E399" s="33"/>
      <c r="F399" s="47"/>
    </row>
    <row r="400" spans="2:6" x14ac:dyDescent="0.25">
      <c r="B400" s="81"/>
      <c r="C400" s="9"/>
      <c r="D400" s="46"/>
      <c r="E400" s="84"/>
      <c r="F400" s="47"/>
    </row>
    <row r="401" spans="2:6" x14ac:dyDescent="0.25">
      <c r="B401" s="81"/>
      <c r="C401" s="9"/>
      <c r="D401" s="9"/>
      <c r="E401" s="33"/>
      <c r="F401" s="47"/>
    </row>
    <row r="402" spans="2:6" x14ac:dyDescent="0.25">
      <c r="B402" s="81"/>
      <c r="C402" s="9"/>
      <c r="D402" s="46"/>
      <c r="E402" s="84"/>
      <c r="F402" s="47"/>
    </row>
    <row r="403" spans="2:6" x14ac:dyDescent="0.25">
      <c r="B403" s="81"/>
      <c r="C403" s="9"/>
      <c r="D403" s="46"/>
      <c r="E403" s="84"/>
      <c r="F403" s="47"/>
    </row>
    <row r="404" spans="2:6" x14ac:dyDescent="0.25">
      <c r="B404" s="81"/>
      <c r="C404" s="9"/>
      <c r="D404" s="46"/>
      <c r="E404" s="84"/>
      <c r="F404" s="47"/>
    </row>
    <row r="405" spans="2:6" x14ac:dyDescent="0.25">
      <c r="B405" s="81"/>
      <c r="C405" s="9"/>
      <c r="D405" s="9"/>
      <c r="E405" s="33"/>
      <c r="F405" s="47"/>
    </row>
    <row r="406" spans="2:6" x14ac:dyDescent="0.25">
      <c r="B406" s="81"/>
      <c r="C406" s="9"/>
      <c r="D406" s="9"/>
      <c r="E406" s="33"/>
      <c r="F406" s="47"/>
    </row>
    <row r="407" spans="2:6" x14ac:dyDescent="0.25">
      <c r="B407" s="81"/>
      <c r="C407" s="9"/>
      <c r="D407" s="49"/>
      <c r="E407" s="85"/>
      <c r="F407" s="47"/>
    </row>
    <row r="408" spans="2:6" x14ac:dyDescent="0.25">
      <c r="B408" s="81"/>
      <c r="C408" s="9"/>
      <c r="D408" s="9"/>
      <c r="E408" s="33"/>
      <c r="F408" s="47"/>
    </row>
    <row r="409" spans="2:6" x14ac:dyDescent="0.25">
      <c r="B409" s="81"/>
      <c r="C409" s="9"/>
      <c r="D409" s="9"/>
      <c r="E409" s="33"/>
      <c r="F409" s="47"/>
    </row>
    <row r="410" spans="2:6" x14ac:dyDescent="0.25">
      <c r="B410" s="81"/>
      <c r="C410" s="9"/>
      <c r="D410" s="46"/>
      <c r="E410" s="84"/>
      <c r="F410" s="88"/>
    </row>
    <row r="411" spans="2:6" x14ac:dyDescent="0.25">
      <c r="B411" s="81"/>
      <c r="C411" s="9"/>
      <c r="D411" s="46"/>
      <c r="E411" s="84"/>
      <c r="F411" s="47"/>
    </row>
    <row r="412" spans="2:6" x14ac:dyDescent="0.25">
      <c r="B412" s="81"/>
      <c r="C412" s="9"/>
      <c r="D412" s="46"/>
      <c r="E412" s="84"/>
      <c r="F412" s="47"/>
    </row>
    <row r="413" spans="2:6" x14ac:dyDescent="0.25">
      <c r="B413" s="81"/>
      <c r="C413" s="9"/>
      <c r="D413" s="9"/>
      <c r="E413" s="33"/>
      <c r="F413" s="47"/>
    </row>
    <row r="414" spans="2:6" x14ac:dyDescent="0.25">
      <c r="B414" s="81"/>
      <c r="C414" s="9"/>
      <c r="D414" s="9"/>
      <c r="E414" s="33"/>
      <c r="F414" s="47"/>
    </row>
    <row r="415" spans="2:6" x14ac:dyDescent="0.25">
      <c r="B415" s="81"/>
      <c r="C415" s="9"/>
      <c r="D415" s="9"/>
      <c r="E415" s="33"/>
      <c r="F415" s="47"/>
    </row>
    <row r="416" spans="2:6" x14ac:dyDescent="0.25">
      <c r="B416" s="81"/>
      <c r="C416" s="9"/>
      <c r="D416" s="9"/>
      <c r="E416" s="33"/>
      <c r="F416" s="47"/>
    </row>
    <row r="417" spans="2:6" x14ac:dyDescent="0.25">
      <c r="B417" s="89"/>
      <c r="C417" s="9"/>
      <c r="D417" s="9"/>
      <c r="E417" s="33"/>
      <c r="F417" s="47"/>
    </row>
    <row r="418" spans="2:6" x14ac:dyDescent="0.25">
      <c r="B418" s="81"/>
      <c r="C418" s="9"/>
      <c r="D418" s="9"/>
      <c r="E418" s="33"/>
      <c r="F418" s="47"/>
    </row>
    <row r="419" spans="2:6" x14ac:dyDescent="0.25">
      <c r="B419" s="81"/>
      <c r="C419" s="9"/>
      <c r="D419" s="9"/>
      <c r="E419" s="33"/>
      <c r="F419" s="47"/>
    </row>
    <row r="420" spans="2:6" x14ac:dyDescent="0.25">
      <c r="B420" s="89"/>
      <c r="C420" s="9"/>
      <c r="D420" s="9"/>
      <c r="E420" s="33"/>
      <c r="F420" s="47"/>
    </row>
    <row r="421" spans="2:6" x14ac:dyDescent="0.25">
      <c r="B421" s="81"/>
      <c r="C421" s="9"/>
      <c r="D421" s="9"/>
      <c r="E421" s="33"/>
      <c r="F421" s="47"/>
    </row>
    <row r="422" spans="2:6" x14ac:dyDescent="0.25">
      <c r="B422" s="81"/>
      <c r="C422" s="9"/>
      <c r="D422" s="9"/>
      <c r="E422" s="33"/>
      <c r="F422" s="47"/>
    </row>
    <row r="423" spans="2:6" x14ac:dyDescent="0.25">
      <c r="B423" s="89"/>
      <c r="C423" s="9"/>
      <c r="D423" s="9"/>
      <c r="E423" s="33"/>
      <c r="F423" s="47"/>
    </row>
    <row r="424" spans="2:6" x14ac:dyDescent="0.25">
      <c r="B424" s="81"/>
      <c r="C424" s="9"/>
      <c r="D424" s="9"/>
      <c r="E424" s="33"/>
      <c r="F424" s="47"/>
    </row>
    <row r="425" spans="2:6" x14ac:dyDescent="0.25">
      <c r="B425" s="81"/>
      <c r="C425" s="9"/>
      <c r="D425" s="9"/>
      <c r="E425" s="33"/>
      <c r="F425" s="47"/>
    </row>
    <row r="426" spans="2:6" x14ac:dyDescent="0.25">
      <c r="B426" s="89"/>
      <c r="C426" s="9"/>
      <c r="D426" s="9"/>
      <c r="E426" s="33"/>
      <c r="F426" s="47"/>
    </row>
    <row r="427" spans="2:6" x14ac:dyDescent="0.25">
      <c r="B427" s="81"/>
      <c r="C427" s="9"/>
      <c r="D427" s="9"/>
      <c r="E427" s="33"/>
      <c r="F427" s="47"/>
    </row>
    <row r="428" spans="2:6" x14ac:dyDescent="0.25">
      <c r="B428" s="81"/>
      <c r="C428" s="9"/>
      <c r="D428" s="9"/>
      <c r="E428" s="33"/>
      <c r="F428" s="47"/>
    </row>
    <row r="429" spans="2:6" x14ac:dyDescent="0.25">
      <c r="B429" s="81"/>
      <c r="C429" s="9"/>
      <c r="D429" s="9"/>
      <c r="E429" s="33"/>
      <c r="F429" s="47"/>
    </row>
    <row r="430" spans="2:6" x14ac:dyDescent="0.25">
      <c r="B430" s="81"/>
      <c r="C430" s="9"/>
      <c r="D430" s="9"/>
      <c r="E430" s="33"/>
      <c r="F430" s="47"/>
    </row>
    <row r="431" spans="2:6" x14ac:dyDescent="0.25">
      <c r="B431" s="81"/>
      <c r="C431" s="9"/>
      <c r="D431" s="9"/>
      <c r="E431" s="33"/>
      <c r="F431" s="47"/>
    </row>
    <row r="432" spans="2:6" x14ac:dyDescent="0.25">
      <c r="B432" s="81"/>
      <c r="C432" s="9"/>
      <c r="D432" s="9"/>
      <c r="E432" s="33"/>
      <c r="F432" s="47"/>
    </row>
    <row r="433" spans="2:6" x14ac:dyDescent="0.25">
      <c r="B433" s="81"/>
      <c r="C433" s="9"/>
      <c r="D433" s="9"/>
      <c r="E433" s="33"/>
      <c r="F433" s="47"/>
    </row>
    <row r="434" spans="2:6" x14ac:dyDescent="0.25">
      <c r="B434" s="81"/>
      <c r="C434" s="9"/>
      <c r="D434" s="9"/>
      <c r="E434" s="33"/>
      <c r="F434" s="47"/>
    </row>
    <row r="435" spans="2:6" x14ac:dyDescent="0.25">
      <c r="B435" s="81"/>
      <c r="C435" s="9"/>
      <c r="D435" s="9"/>
      <c r="E435" s="33"/>
      <c r="F435" s="47"/>
    </row>
    <row r="436" spans="2:6" x14ac:dyDescent="0.25">
      <c r="B436" s="81"/>
      <c r="C436" s="9"/>
      <c r="D436" s="9"/>
      <c r="E436" s="33"/>
      <c r="F436" s="47"/>
    </row>
    <row r="437" spans="2:6" x14ac:dyDescent="0.25">
      <c r="B437" s="81"/>
      <c r="C437" s="9"/>
      <c r="D437" s="9"/>
      <c r="E437" s="33"/>
      <c r="F437" s="47"/>
    </row>
    <row r="438" spans="2:6" x14ac:dyDescent="0.25">
      <c r="B438" s="81"/>
      <c r="C438" s="9"/>
      <c r="D438" s="9"/>
      <c r="E438" s="33"/>
      <c r="F438" s="47"/>
    </row>
    <row r="439" spans="2:6" x14ac:dyDescent="0.25">
      <c r="B439" s="81"/>
      <c r="C439" s="9"/>
      <c r="D439" s="9"/>
      <c r="E439" s="33"/>
      <c r="F439" s="47"/>
    </row>
    <row r="440" spans="2:6" x14ac:dyDescent="0.25">
      <c r="B440" s="81"/>
      <c r="C440" s="9"/>
      <c r="D440" s="9"/>
      <c r="E440" s="33"/>
      <c r="F440" s="47"/>
    </row>
    <row r="441" spans="2:6" x14ac:dyDescent="0.25">
      <c r="B441" s="81"/>
      <c r="C441" s="9"/>
      <c r="D441" s="9"/>
      <c r="E441" s="33"/>
      <c r="F441" s="47"/>
    </row>
    <row r="442" spans="2:6" x14ac:dyDescent="0.25">
      <c r="B442" s="81"/>
      <c r="C442" s="9"/>
      <c r="D442" s="9"/>
      <c r="E442" s="33"/>
      <c r="F442" s="47"/>
    </row>
    <row r="443" spans="2:6" x14ac:dyDescent="0.25">
      <c r="B443" s="81"/>
      <c r="C443" s="9"/>
      <c r="D443" s="9"/>
      <c r="E443" s="33"/>
      <c r="F443" s="47"/>
    </row>
    <row r="444" spans="2:6" x14ac:dyDescent="0.25">
      <c r="B444" s="81"/>
      <c r="C444" s="9"/>
      <c r="D444" s="9"/>
      <c r="E444" s="33"/>
      <c r="F444" s="47"/>
    </row>
    <row r="445" spans="2:6" x14ac:dyDescent="0.25">
      <c r="B445" s="81"/>
      <c r="C445" s="9"/>
      <c r="D445" s="9"/>
      <c r="E445" s="33"/>
      <c r="F445" s="47"/>
    </row>
    <row r="446" spans="2:6" x14ac:dyDescent="0.25">
      <c r="B446" s="81"/>
      <c r="C446" s="9"/>
      <c r="D446" s="9"/>
      <c r="E446" s="33"/>
      <c r="F446" s="47"/>
    </row>
    <row r="447" spans="2:6" x14ac:dyDescent="0.25">
      <c r="B447" s="81"/>
      <c r="C447" s="9"/>
      <c r="D447" s="9"/>
      <c r="E447" s="33"/>
      <c r="F447" s="47"/>
    </row>
    <row r="448" spans="2:6" x14ac:dyDescent="0.25">
      <c r="B448" s="81"/>
      <c r="C448" s="9"/>
      <c r="D448" s="9"/>
      <c r="E448" s="33"/>
      <c r="F448" s="47"/>
    </row>
    <row r="449" spans="2:6" x14ac:dyDescent="0.25">
      <c r="B449" s="81"/>
      <c r="C449" s="9"/>
      <c r="D449" s="9"/>
      <c r="E449" s="33"/>
      <c r="F449" s="47"/>
    </row>
    <row r="450" spans="2:6" x14ac:dyDescent="0.25">
      <c r="B450" s="81"/>
      <c r="C450" s="9"/>
      <c r="D450" s="9"/>
      <c r="E450" s="33"/>
      <c r="F450" s="47"/>
    </row>
    <row r="451" spans="2:6" x14ac:dyDescent="0.25">
      <c r="B451" s="81"/>
      <c r="C451" s="9"/>
      <c r="D451" s="9"/>
      <c r="E451" s="33"/>
      <c r="F451" s="47"/>
    </row>
    <row r="452" spans="2:6" x14ac:dyDescent="0.25">
      <c r="B452" s="81"/>
      <c r="C452" s="9"/>
      <c r="D452" s="9"/>
      <c r="E452" s="33"/>
      <c r="F452" s="47"/>
    </row>
    <row r="453" spans="2:6" x14ac:dyDescent="0.25">
      <c r="B453" s="81"/>
      <c r="C453" s="9"/>
      <c r="D453" s="9"/>
      <c r="E453" s="33"/>
      <c r="F453" s="47"/>
    </row>
    <row r="454" spans="2:6" x14ac:dyDescent="0.25">
      <c r="B454" s="81"/>
      <c r="C454" s="9"/>
      <c r="D454" s="9"/>
      <c r="E454" s="33"/>
      <c r="F454" s="47"/>
    </row>
    <row r="455" spans="2:6" x14ac:dyDescent="0.25">
      <c r="B455" s="81"/>
      <c r="C455" s="9"/>
      <c r="D455" s="9"/>
      <c r="E455" s="33"/>
      <c r="F455" s="47"/>
    </row>
    <row r="456" spans="2:6" x14ac:dyDescent="0.25">
      <c r="B456" s="81"/>
      <c r="C456" s="9"/>
      <c r="D456" s="9"/>
      <c r="E456" s="33"/>
      <c r="F456" s="47"/>
    </row>
    <row r="457" spans="2:6" x14ac:dyDescent="0.25">
      <c r="B457" s="81"/>
      <c r="C457" s="9"/>
      <c r="D457" s="9"/>
      <c r="E457" s="33"/>
      <c r="F457" s="47"/>
    </row>
    <row r="458" spans="2:6" x14ac:dyDescent="0.25">
      <c r="B458" s="81"/>
      <c r="C458" s="9"/>
      <c r="D458" s="9"/>
      <c r="E458" s="33"/>
      <c r="F458" s="47"/>
    </row>
    <row r="459" spans="2:6" x14ac:dyDescent="0.25">
      <c r="B459" s="81"/>
      <c r="C459" s="9"/>
      <c r="D459" s="9"/>
      <c r="E459" s="33"/>
      <c r="F459" s="47"/>
    </row>
    <row r="460" spans="2:6" x14ac:dyDescent="0.25">
      <c r="B460" s="81"/>
      <c r="C460" s="9"/>
      <c r="D460" s="9"/>
      <c r="E460" s="33"/>
      <c r="F460" s="47"/>
    </row>
    <row r="461" spans="2:6" x14ac:dyDescent="0.25">
      <c r="B461" s="81"/>
      <c r="C461" s="9"/>
      <c r="D461" s="9"/>
      <c r="E461" s="33"/>
      <c r="F461" s="47"/>
    </row>
    <row r="462" spans="2:6" x14ac:dyDescent="0.25">
      <c r="B462" s="81"/>
      <c r="C462" s="9"/>
      <c r="D462" s="9"/>
      <c r="E462" s="33"/>
      <c r="F462" s="47"/>
    </row>
    <row r="463" spans="2:6" x14ac:dyDescent="0.25">
      <c r="B463" s="81"/>
      <c r="C463" s="9"/>
      <c r="D463" s="9"/>
      <c r="E463" s="33"/>
      <c r="F463" s="47"/>
    </row>
    <row r="464" spans="2:6" x14ac:dyDescent="0.25">
      <c r="B464" s="81"/>
      <c r="C464" s="9"/>
      <c r="D464" s="9"/>
      <c r="E464" s="33"/>
      <c r="F464" s="47"/>
    </row>
    <row r="465" spans="2:6" x14ac:dyDescent="0.25">
      <c r="B465" s="81"/>
      <c r="C465" s="9"/>
      <c r="D465" s="9"/>
      <c r="E465" s="33"/>
      <c r="F465" s="47"/>
    </row>
    <row r="466" spans="2:6" x14ac:dyDescent="0.25">
      <c r="B466" s="81"/>
      <c r="C466" s="9"/>
      <c r="D466" s="9"/>
      <c r="E466" s="33"/>
      <c r="F466" s="47"/>
    </row>
    <row r="467" spans="2:6" x14ac:dyDescent="0.25">
      <c r="B467" s="81"/>
      <c r="C467" s="9"/>
      <c r="D467" s="9"/>
      <c r="E467" s="33"/>
      <c r="F467" s="47"/>
    </row>
    <row r="468" spans="2:6" x14ac:dyDescent="0.25">
      <c r="B468" s="81"/>
      <c r="C468" s="9"/>
      <c r="D468" s="9"/>
      <c r="E468" s="33"/>
      <c r="F468" s="47"/>
    </row>
    <row r="469" spans="2:6" x14ac:dyDescent="0.25">
      <c r="B469" s="81"/>
      <c r="C469" s="9"/>
      <c r="D469" s="9"/>
      <c r="E469" s="33"/>
      <c r="F469" s="47"/>
    </row>
    <row r="470" spans="2:6" x14ac:dyDescent="0.25">
      <c r="B470" s="81"/>
      <c r="C470" s="9"/>
      <c r="D470" s="9"/>
      <c r="E470" s="33"/>
      <c r="F470" s="47"/>
    </row>
    <row r="471" spans="2:6" x14ac:dyDescent="0.25">
      <c r="B471" s="81"/>
      <c r="C471" s="9"/>
      <c r="D471" s="9"/>
      <c r="E471" s="33"/>
      <c r="F471" s="47"/>
    </row>
    <row r="472" spans="2:6" x14ac:dyDescent="0.25">
      <c r="B472" s="81"/>
      <c r="C472" s="9"/>
      <c r="D472" s="9"/>
      <c r="E472" s="33"/>
      <c r="F472" s="47"/>
    </row>
    <row r="473" spans="2:6" x14ac:dyDescent="0.25">
      <c r="B473" s="81"/>
      <c r="C473" s="9"/>
      <c r="D473" s="9"/>
      <c r="E473" s="33"/>
      <c r="F473" s="47"/>
    </row>
    <row r="474" spans="2:6" x14ac:dyDescent="0.25">
      <c r="B474" s="81"/>
      <c r="C474" s="9"/>
      <c r="D474" s="9"/>
      <c r="E474" s="33"/>
      <c r="F474" s="47"/>
    </row>
    <row r="475" spans="2:6" x14ac:dyDescent="0.25">
      <c r="B475" s="81"/>
      <c r="C475" s="9"/>
      <c r="D475" s="9"/>
      <c r="E475" s="33"/>
      <c r="F475" s="47"/>
    </row>
    <row r="476" spans="2:6" x14ac:dyDescent="0.25">
      <c r="B476" s="81"/>
      <c r="C476" s="9"/>
      <c r="D476" s="9"/>
      <c r="E476" s="33"/>
      <c r="F476" s="47"/>
    </row>
    <row r="477" spans="2:6" x14ac:dyDescent="0.25">
      <c r="B477" s="81"/>
      <c r="C477" s="9"/>
      <c r="D477" s="9"/>
      <c r="E477" s="33"/>
      <c r="F477" s="47"/>
    </row>
    <row r="478" spans="2:6" x14ac:dyDescent="0.25">
      <c r="B478" s="81"/>
      <c r="C478" s="9"/>
      <c r="D478" s="9"/>
      <c r="E478" s="33"/>
      <c r="F478" s="47"/>
    </row>
    <row r="479" spans="2:6" x14ac:dyDescent="0.25">
      <c r="B479" s="81"/>
      <c r="C479" s="9"/>
      <c r="D479" s="9"/>
      <c r="E479" s="33"/>
      <c r="F479" s="47"/>
    </row>
    <row r="480" spans="2:6" x14ac:dyDescent="0.25">
      <c r="B480" s="81"/>
      <c r="C480" s="9"/>
      <c r="D480" s="9"/>
      <c r="E480" s="33"/>
      <c r="F480" s="47"/>
    </row>
    <row r="481" spans="2:6" x14ac:dyDescent="0.25">
      <c r="B481" s="81"/>
      <c r="C481" s="9"/>
      <c r="D481" s="9"/>
      <c r="E481" s="33"/>
      <c r="F481" s="47"/>
    </row>
    <row r="482" spans="2:6" x14ac:dyDescent="0.25">
      <c r="B482" s="81"/>
      <c r="C482" s="9"/>
      <c r="D482" s="9"/>
      <c r="E482" s="33"/>
      <c r="F482" s="47"/>
    </row>
    <row r="483" spans="2:6" x14ac:dyDescent="0.25">
      <c r="B483" s="81"/>
      <c r="C483" s="9"/>
      <c r="D483" s="9"/>
      <c r="E483" s="33"/>
      <c r="F483" s="47"/>
    </row>
    <row r="484" spans="2:6" x14ac:dyDescent="0.25">
      <c r="B484" s="81"/>
      <c r="C484" s="9"/>
      <c r="D484" s="9"/>
      <c r="E484" s="33"/>
      <c r="F484" s="47"/>
    </row>
    <row r="485" spans="2:6" x14ac:dyDescent="0.25">
      <c r="B485" s="81"/>
      <c r="C485" s="9"/>
      <c r="D485" s="9"/>
      <c r="E485" s="33"/>
      <c r="F485" s="47"/>
    </row>
    <row r="486" spans="2:6" x14ac:dyDescent="0.25">
      <c r="B486" s="81"/>
      <c r="C486" s="9"/>
      <c r="D486" s="9"/>
      <c r="E486" s="33"/>
      <c r="F486" s="47"/>
    </row>
    <row r="487" spans="2:6" x14ac:dyDescent="0.25">
      <c r="B487" s="81"/>
      <c r="C487" s="9"/>
      <c r="D487" s="9"/>
      <c r="E487" s="33"/>
      <c r="F487" s="47"/>
    </row>
    <row r="488" spans="2:6" x14ac:dyDescent="0.25">
      <c r="B488" s="81"/>
      <c r="C488" s="9"/>
      <c r="D488" s="9"/>
      <c r="E488" s="33"/>
      <c r="F488" s="47"/>
    </row>
    <row r="489" spans="2:6" x14ac:dyDescent="0.25">
      <c r="B489" s="81"/>
      <c r="C489" s="9"/>
      <c r="D489" s="9"/>
      <c r="E489" s="33"/>
      <c r="F489" s="47"/>
    </row>
    <row r="490" spans="2:6" x14ac:dyDescent="0.25">
      <c r="B490" s="81"/>
      <c r="C490" s="9"/>
      <c r="D490" s="9"/>
      <c r="E490" s="33"/>
      <c r="F490" s="47"/>
    </row>
    <row r="491" spans="2:6" x14ac:dyDescent="0.25">
      <c r="B491" s="81"/>
      <c r="C491" s="9"/>
      <c r="D491" s="9"/>
      <c r="E491" s="33"/>
      <c r="F491" s="47"/>
    </row>
    <row r="492" spans="2:6" x14ac:dyDescent="0.25">
      <c r="B492" s="81"/>
      <c r="C492" s="9"/>
      <c r="D492" s="9"/>
      <c r="E492" s="33"/>
      <c r="F492" s="47"/>
    </row>
    <row r="493" spans="2:6" x14ac:dyDescent="0.25">
      <c r="B493" s="81"/>
      <c r="C493" s="9"/>
      <c r="D493" s="9"/>
      <c r="E493" s="33"/>
      <c r="F493" s="47"/>
    </row>
    <row r="494" spans="2:6" x14ac:dyDescent="0.25">
      <c r="B494" s="81"/>
      <c r="C494" s="9"/>
      <c r="D494" s="9"/>
      <c r="E494" s="33"/>
      <c r="F494" s="47"/>
    </row>
    <row r="495" spans="2:6" x14ac:dyDescent="0.25">
      <c r="B495" s="81"/>
      <c r="C495" s="9"/>
      <c r="D495" s="9"/>
      <c r="E495" s="33"/>
      <c r="F495" s="47"/>
    </row>
    <row r="496" spans="2:6" x14ac:dyDescent="0.25">
      <c r="B496" s="81"/>
      <c r="C496" s="9"/>
      <c r="D496" s="9"/>
      <c r="E496" s="33"/>
      <c r="F496" s="47"/>
    </row>
    <row r="497" spans="2:6" x14ac:dyDescent="0.25">
      <c r="B497" s="81"/>
      <c r="C497" s="9"/>
      <c r="D497" s="9"/>
      <c r="E497" s="33"/>
      <c r="F497" s="47"/>
    </row>
    <row r="498" spans="2:6" x14ac:dyDescent="0.25">
      <c r="B498" s="81"/>
      <c r="C498" s="9"/>
      <c r="D498" s="9"/>
      <c r="E498" s="33"/>
      <c r="F498" s="47"/>
    </row>
    <row r="499" spans="2:6" x14ac:dyDescent="0.25">
      <c r="B499" s="81"/>
      <c r="C499" s="9"/>
      <c r="D499" s="9"/>
      <c r="E499" s="33"/>
      <c r="F499" s="47"/>
    </row>
    <row r="500" spans="2:6" x14ac:dyDescent="0.25">
      <c r="B500" s="81"/>
      <c r="C500" s="9"/>
      <c r="D500" s="9"/>
      <c r="E500" s="33"/>
      <c r="F500" s="47"/>
    </row>
    <row r="501" spans="2:6" x14ac:dyDescent="0.25">
      <c r="B501" s="81"/>
      <c r="C501" s="9"/>
      <c r="D501" s="9"/>
      <c r="E501" s="33"/>
      <c r="F501" s="47"/>
    </row>
    <row r="502" spans="2:6" x14ac:dyDescent="0.25">
      <c r="B502" s="81"/>
      <c r="C502" s="9"/>
      <c r="D502" s="9"/>
      <c r="E502" s="33"/>
      <c r="F502" s="47"/>
    </row>
    <row r="503" spans="2:6" x14ac:dyDescent="0.25">
      <c r="B503" s="81"/>
      <c r="C503" s="9"/>
      <c r="D503" s="9"/>
      <c r="E503" s="33"/>
      <c r="F503" s="47"/>
    </row>
    <row r="504" spans="2:6" x14ac:dyDescent="0.25">
      <c r="B504" s="81"/>
      <c r="C504" s="9"/>
      <c r="D504" s="9"/>
      <c r="E504" s="33"/>
      <c r="F504" s="47"/>
    </row>
    <row r="505" spans="2:6" x14ac:dyDescent="0.25">
      <c r="B505" s="81"/>
      <c r="C505" s="9"/>
      <c r="D505" s="9"/>
      <c r="E505" s="33"/>
      <c r="F505" s="47"/>
    </row>
    <row r="506" spans="2:6" x14ac:dyDescent="0.25">
      <c r="B506" s="81"/>
      <c r="C506" s="9"/>
      <c r="D506" s="9"/>
      <c r="E506" s="33"/>
      <c r="F506" s="47"/>
    </row>
    <row r="507" spans="2:6" x14ac:dyDescent="0.25">
      <c r="B507" s="81"/>
      <c r="C507" s="9"/>
      <c r="D507" s="9"/>
      <c r="E507" s="33"/>
      <c r="F507" s="47"/>
    </row>
    <row r="508" spans="2:6" x14ac:dyDescent="0.25">
      <c r="B508" s="81"/>
      <c r="C508" s="9"/>
      <c r="D508" s="9"/>
      <c r="E508" s="33"/>
      <c r="F508" s="47"/>
    </row>
    <row r="509" spans="2:6" x14ac:dyDescent="0.25">
      <c r="B509" s="81"/>
      <c r="C509" s="9"/>
      <c r="D509" s="9"/>
      <c r="E509" s="33"/>
      <c r="F509" s="47"/>
    </row>
    <row r="510" spans="2:6" x14ac:dyDescent="0.25">
      <c r="B510" s="81"/>
      <c r="C510" s="9"/>
      <c r="D510" s="9"/>
      <c r="E510" s="33"/>
      <c r="F510" s="47"/>
    </row>
    <row r="511" spans="2:6" x14ac:dyDescent="0.25">
      <c r="B511" s="81"/>
      <c r="C511" s="9"/>
      <c r="D511" s="9"/>
      <c r="E511" s="33"/>
      <c r="F511" s="47"/>
    </row>
    <row r="512" spans="2:6" x14ac:dyDescent="0.25">
      <c r="B512" s="81"/>
      <c r="C512" s="9"/>
      <c r="D512" s="9"/>
      <c r="E512" s="33"/>
      <c r="F512" s="47"/>
    </row>
    <row r="513" spans="2:6" x14ac:dyDescent="0.25">
      <c r="B513" s="81"/>
      <c r="C513" s="9"/>
      <c r="D513" s="9"/>
      <c r="E513" s="33"/>
      <c r="F513" s="47"/>
    </row>
    <row r="514" spans="2:6" x14ac:dyDescent="0.25">
      <c r="B514" s="81"/>
      <c r="C514" s="9"/>
      <c r="D514" s="9"/>
      <c r="E514" s="33"/>
      <c r="F514" s="47"/>
    </row>
    <row r="515" spans="2:6" x14ac:dyDescent="0.25">
      <c r="B515" s="81"/>
      <c r="C515" s="9"/>
      <c r="D515" s="9"/>
      <c r="E515" s="33"/>
      <c r="F515" s="47"/>
    </row>
    <row r="516" spans="2:6" x14ac:dyDescent="0.25">
      <c r="B516" s="81"/>
      <c r="C516" s="9"/>
      <c r="D516" s="9"/>
      <c r="E516" s="33"/>
      <c r="F516" s="47"/>
    </row>
    <row r="517" spans="2:6" x14ac:dyDescent="0.25">
      <c r="B517" s="81"/>
      <c r="C517" s="9"/>
      <c r="D517" s="9"/>
      <c r="E517" s="33"/>
      <c r="F517" s="47"/>
    </row>
    <row r="518" spans="2:6" x14ac:dyDescent="0.25">
      <c r="B518" s="81"/>
      <c r="C518" s="9"/>
      <c r="D518" s="9"/>
      <c r="E518" s="33"/>
      <c r="F518" s="47"/>
    </row>
    <row r="519" spans="2:6" x14ac:dyDescent="0.25">
      <c r="B519" s="81"/>
      <c r="C519" s="9"/>
      <c r="D519" s="9"/>
      <c r="E519" s="33"/>
      <c r="F519" s="47"/>
    </row>
    <row r="520" spans="2:6" x14ac:dyDescent="0.25">
      <c r="B520" s="81"/>
      <c r="C520" s="9"/>
      <c r="D520" s="9"/>
      <c r="E520" s="33"/>
      <c r="F520" s="47"/>
    </row>
    <row r="521" spans="2:6" x14ac:dyDescent="0.25">
      <c r="B521" s="81"/>
      <c r="C521" s="9"/>
      <c r="D521" s="9"/>
      <c r="E521" s="33"/>
      <c r="F521" s="47"/>
    </row>
    <row r="522" spans="2:6" x14ac:dyDescent="0.25">
      <c r="B522" s="81"/>
      <c r="C522" s="9"/>
      <c r="D522" s="9"/>
      <c r="E522" s="33"/>
      <c r="F522" s="47"/>
    </row>
    <row r="523" spans="2:6" x14ac:dyDescent="0.25">
      <c r="B523" s="81"/>
      <c r="C523" s="9"/>
      <c r="D523" s="9"/>
      <c r="E523" s="33"/>
      <c r="F523" s="47"/>
    </row>
    <row r="524" spans="2:6" x14ac:dyDescent="0.25">
      <c r="B524" s="81"/>
      <c r="C524" s="9"/>
      <c r="D524" s="9"/>
      <c r="E524" s="33"/>
      <c r="F524" s="47"/>
    </row>
    <row r="525" spans="2:6" x14ac:dyDescent="0.25">
      <c r="B525" s="81"/>
      <c r="C525" s="9"/>
      <c r="D525" s="9"/>
      <c r="E525" s="33"/>
      <c r="F525" s="47"/>
    </row>
    <row r="526" spans="2:6" x14ac:dyDescent="0.25">
      <c r="B526" s="81"/>
      <c r="C526" s="9"/>
      <c r="D526" s="9"/>
      <c r="E526" s="33"/>
      <c r="F526" s="47"/>
    </row>
    <row r="527" spans="2:6" x14ac:dyDescent="0.25">
      <c r="B527" s="81"/>
      <c r="C527" s="9"/>
      <c r="D527" s="9"/>
      <c r="E527" s="33"/>
      <c r="F527" s="47"/>
    </row>
    <row r="528" spans="2:6" x14ac:dyDescent="0.25">
      <c r="B528" s="81"/>
      <c r="C528" s="9"/>
      <c r="D528" s="9"/>
      <c r="E528" s="33"/>
      <c r="F528" s="47"/>
    </row>
    <row r="529" spans="2:6" x14ac:dyDescent="0.25">
      <c r="B529" s="81"/>
      <c r="C529" s="9"/>
      <c r="D529" s="9"/>
      <c r="E529" s="33"/>
      <c r="F529" s="47"/>
    </row>
    <row r="530" spans="2:6" x14ac:dyDescent="0.25">
      <c r="B530" s="81"/>
      <c r="C530" s="9"/>
      <c r="D530" s="9"/>
      <c r="E530" s="33"/>
      <c r="F530" s="47"/>
    </row>
    <row r="531" spans="2:6" x14ac:dyDescent="0.25">
      <c r="B531" s="81"/>
      <c r="C531" s="9"/>
      <c r="D531" s="9"/>
      <c r="E531" s="33"/>
      <c r="F531" s="47"/>
    </row>
    <row r="532" spans="2:6" x14ac:dyDescent="0.25">
      <c r="B532" s="81"/>
      <c r="C532" s="9"/>
      <c r="D532" s="9"/>
      <c r="E532" s="33"/>
      <c r="F532" s="47"/>
    </row>
    <row r="533" spans="2:6" x14ac:dyDescent="0.25">
      <c r="B533" s="81"/>
      <c r="C533" s="9"/>
      <c r="D533" s="9"/>
      <c r="E533" s="33"/>
      <c r="F533" s="47"/>
    </row>
    <row r="534" spans="2:6" x14ac:dyDescent="0.25">
      <c r="B534" s="81"/>
      <c r="C534" s="9"/>
      <c r="D534" s="9"/>
      <c r="E534" s="33"/>
      <c r="F534" s="47"/>
    </row>
    <row r="535" spans="2:6" x14ac:dyDescent="0.25">
      <c r="B535" s="81"/>
      <c r="C535" s="9"/>
      <c r="D535" s="9"/>
      <c r="E535" s="33"/>
      <c r="F535" s="47"/>
    </row>
    <row r="536" spans="2:6" x14ac:dyDescent="0.25">
      <c r="B536" s="81"/>
      <c r="C536" s="9"/>
      <c r="D536" s="9"/>
      <c r="E536" s="33"/>
      <c r="F536" s="47"/>
    </row>
    <row r="537" spans="2:6" x14ac:dyDescent="0.25">
      <c r="B537" s="81"/>
      <c r="C537" s="9"/>
      <c r="D537" s="9"/>
      <c r="E537" s="33"/>
      <c r="F537" s="47"/>
    </row>
    <row r="538" spans="2:6" x14ac:dyDescent="0.25">
      <c r="B538" s="81"/>
      <c r="C538" s="9"/>
      <c r="D538" s="9"/>
      <c r="E538" s="33"/>
      <c r="F538" s="47"/>
    </row>
    <row r="539" spans="2:6" x14ac:dyDescent="0.25">
      <c r="B539" s="81"/>
      <c r="C539" s="9"/>
      <c r="D539" s="9"/>
      <c r="E539" s="33"/>
      <c r="F539" s="47"/>
    </row>
    <row r="540" spans="2:6" x14ac:dyDescent="0.25">
      <c r="B540" s="81"/>
      <c r="C540" s="9"/>
      <c r="D540" s="9"/>
      <c r="E540" s="33"/>
      <c r="F540" s="47"/>
    </row>
    <row r="541" spans="2:6" x14ac:dyDescent="0.25">
      <c r="B541" s="81"/>
      <c r="C541" s="9"/>
      <c r="D541" s="9"/>
      <c r="E541" s="33"/>
      <c r="F541" s="47"/>
    </row>
    <row r="542" spans="2:6" x14ac:dyDescent="0.25">
      <c r="B542" s="81"/>
      <c r="C542" s="9"/>
      <c r="D542" s="9"/>
      <c r="E542" s="33"/>
      <c r="F542" s="47"/>
    </row>
    <row r="543" spans="2:6" x14ac:dyDescent="0.25">
      <c r="B543" s="81"/>
      <c r="C543" s="9"/>
      <c r="D543" s="9"/>
      <c r="E543" s="33"/>
      <c r="F543" s="47"/>
    </row>
    <row r="544" spans="2:6" x14ac:dyDescent="0.25">
      <c r="B544" s="81"/>
      <c r="C544" s="9"/>
      <c r="D544" s="9"/>
      <c r="E544" s="33"/>
      <c r="F544" s="47"/>
    </row>
    <row r="545" spans="2:6" x14ac:dyDescent="0.25">
      <c r="B545" s="81"/>
      <c r="C545" s="9"/>
      <c r="D545" s="9"/>
      <c r="E545" s="33"/>
      <c r="F545" s="47"/>
    </row>
    <row r="546" spans="2:6" x14ac:dyDescent="0.25">
      <c r="B546" s="81"/>
      <c r="C546" s="9"/>
      <c r="D546" s="9"/>
      <c r="E546" s="33"/>
      <c r="F546" s="47"/>
    </row>
    <row r="547" spans="2:6" x14ac:dyDescent="0.25">
      <c r="B547" s="81"/>
      <c r="C547" s="9"/>
      <c r="D547" s="9"/>
      <c r="E547" s="33"/>
      <c r="F547" s="47"/>
    </row>
    <row r="548" spans="2:6" x14ac:dyDescent="0.25">
      <c r="B548" s="81"/>
      <c r="C548" s="9"/>
      <c r="D548" s="9"/>
      <c r="E548" s="33"/>
      <c r="F548" s="47"/>
    </row>
    <row r="549" spans="2:6" x14ac:dyDescent="0.25">
      <c r="B549" s="81"/>
      <c r="C549" s="9"/>
      <c r="D549" s="9"/>
      <c r="E549" s="33"/>
      <c r="F549" s="47"/>
    </row>
    <row r="550" spans="2:6" x14ac:dyDescent="0.25">
      <c r="B550" s="81"/>
      <c r="C550" s="9"/>
      <c r="D550" s="9"/>
      <c r="E550" s="33"/>
      <c r="F550" s="47"/>
    </row>
    <row r="551" spans="2:6" x14ac:dyDescent="0.25">
      <c r="B551" s="81"/>
      <c r="C551" s="9"/>
      <c r="D551" s="9"/>
      <c r="E551" s="33"/>
      <c r="F551" s="47"/>
    </row>
    <row r="552" spans="2:6" x14ac:dyDescent="0.25">
      <c r="B552" s="81"/>
      <c r="C552" s="9"/>
      <c r="D552" s="9"/>
      <c r="E552" s="33"/>
      <c r="F552" s="47"/>
    </row>
    <row r="553" spans="2:6" x14ac:dyDescent="0.25">
      <c r="B553" s="81"/>
      <c r="C553" s="9"/>
      <c r="D553" s="9"/>
      <c r="E553" s="33"/>
      <c r="F553" s="47"/>
    </row>
    <row r="554" spans="2:6" x14ac:dyDescent="0.25">
      <c r="B554" s="81"/>
      <c r="C554" s="9"/>
      <c r="D554" s="9"/>
      <c r="E554" s="33"/>
      <c r="F554" s="47"/>
    </row>
    <row r="555" spans="2:6" x14ac:dyDescent="0.25">
      <c r="B555" s="81"/>
      <c r="C555" s="9"/>
      <c r="D555" s="9"/>
      <c r="E555" s="33"/>
      <c r="F555" s="47"/>
    </row>
    <row r="556" spans="2:6" x14ac:dyDescent="0.25">
      <c r="B556" s="81"/>
      <c r="C556" s="9"/>
      <c r="D556" s="9"/>
      <c r="E556" s="33"/>
      <c r="F556" s="47"/>
    </row>
    <row r="557" spans="2:6" x14ac:dyDescent="0.25">
      <c r="B557" s="81"/>
      <c r="C557" s="9"/>
      <c r="D557" s="9"/>
      <c r="E557" s="33"/>
      <c r="F557" s="47"/>
    </row>
    <row r="558" spans="2:6" x14ac:dyDescent="0.25">
      <c r="B558" s="81"/>
      <c r="C558" s="9"/>
      <c r="D558" s="9"/>
      <c r="E558" s="33"/>
      <c r="F558" s="47"/>
    </row>
    <row r="559" spans="2:6" x14ac:dyDescent="0.25">
      <c r="B559" s="81"/>
      <c r="C559" s="9"/>
      <c r="D559" s="9"/>
      <c r="E559" s="33"/>
      <c r="F559" s="47"/>
    </row>
    <row r="560" spans="2:6" x14ac:dyDescent="0.25">
      <c r="B560" s="81"/>
      <c r="C560" s="9"/>
      <c r="D560" s="9"/>
      <c r="E560" s="33"/>
      <c r="F560" s="47"/>
    </row>
    <row r="561" spans="2:6" x14ac:dyDescent="0.25">
      <c r="B561" s="81"/>
      <c r="C561" s="9"/>
      <c r="D561" s="9"/>
      <c r="E561" s="33"/>
      <c r="F561" s="47"/>
    </row>
    <row r="562" spans="2:6" x14ac:dyDescent="0.25">
      <c r="B562" s="81"/>
      <c r="C562" s="9"/>
      <c r="D562" s="9"/>
      <c r="E562" s="33"/>
      <c r="F562" s="47"/>
    </row>
    <row r="563" spans="2:6" x14ac:dyDescent="0.25">
      <c r="B563" s="81"/>
      <c r="C563" s="9"/>
      <c r="D563" s="9"/>
      <c r="E563" s="33"/>
      <c r="F563" s="47"/>
    </row>
    <row r="564" spans="2:6" x14ac:dyDescent="0.25">
      <c r="B564" s="81"/>
      <c r="C564" s="9"/>
      <c r="D564" s="9"/>
      <c r="E564" s="33"/>
      <c r="F564" s="47"/>
    </row>
    <row r="565" spans="2:6" x14ac:dyDescent="0.25">
      <c r="B565" s="81"/>
      <c r="C565" s="9"/>
      <c r="D565" s="9"/>
      <c r="E565" s="33"/>
      <c r="F565" s="47"/>
    </row>
    <row r="566" spans="2:6" x14ac:dyDescent="0.25">
      <c r="B566" s="81"/>
      <c r="C566" s="9"/>
      <c r="D566" s="9"/>
      <c r="E566" s="33"/>
      <c r="F566" s="47"/>
    </row>
    <row r="567" spans="2:6" x14ac:dyDescent="0.25">
      <c r="B567" s="81"/>
      <c r="C567" s="9"/>
      <c r="D567" s="9"/>
      <c r="E567" s="33"/>
      <c r="F567" s="47"/>
    </row>
    <row r="568" spans="2:6" x14ac:dyDescent="0.25">
      <c r="B568" s="81"/>
      <c r="C568" s="9"/>
      <c r="D568" s="9"/>
      <c r="E568" s="33"/>
      <c r="F568" s="47"/>
    </row>
    <row r="569" spans="2:6" x14ac:dyDescent="0.25">
      <c r="B569" s="81"/>
      <c r="C569" s="9"/>
      <c r="D569" s="9"/>
      <c r="E569" s="33"/>
      <c r="F569" s="47"/>
    </row>
    <row r="570" spans="2:6" x14ac:dyDescent="0.25">
      <c r="B570" s="81"/>
      <c r="C570" s="9"/>
      <c r="D570" s="9"/>
      <c r="E570" s="33"/>
      <c r="F570" s="47"/>
    </row>
    <row r="571" spans="2:6" x14ac:dyDescent="0.25">
      <c r="B571" s="81"/>
      <c r="C571" s="9"/>
      <c r="D571" s="9"/>
      <c r="E571" s="33"/>
      <c r="F571" s="47"/>
    </row>
    <row r="572" spans="2:6" x14ac:dyDescent="0.25">
      <c r="B572" s="81"/>
      <c r="C572" s="9"/>
      <c r="D572" s="9"/>
      <c r="E572" s="33"/>
      <c r="F572" s="47"/>
    </row>
    <row r="573" spans="2:6" x14ac:dyDescent="0.25">
      <c r="B573" s="81"/>
      <c r="C573" s="9"/>
      <c r="D573" s="9"/>
      <c r="E573" s="33"/>
      <c r="F573" s="47"/>
    </row>
    <row r="574" spans="2:6" x14ac:dyDescent="0.25">
      <c r="B574" s="81"/>
      <c r="C574" s="9"/>
      <c r="D574" s="9"/>
      <c r="E574" s="33"/>
      <c r="F574" s="47"/>
    </row>
    <row r="575" spans="2:6" x14ac:dyDescent="0.25">
      <c r="B575" s="81"/>
      <c r="C575" s="9"/>
      <c r="D575" s="9"/>
      <c r="E575" s="33"/>
      <c r="F575" s="47"/>
    </row>
    <row r="576" spans="2:6" x14ac:dyDescent="0.25">
      <c r="B576" s="81"/>
      <c r="C576" s="9"/>
      <c r="D576" s="9"/>
      <c r="E576" s="33"/>
      <c r="F576" s="47"/>
    </row>
    <row r="577" spans="2:6" x14ac:dyDescent="0.25">
      <c r="B577" s="81"/>
      <c r="C577" s="9"/>
      <c r="D577" s="9"/>
      <c r="E577" s="33"/>
      <c r="F577" s="47"/>
    </row>
    <row r="578" spans="2:6" x14ac:dyDescent="0.25">
      <c r="B578" s="81"/>
      <c r="C578" s="9"/>
      <c r="D578" s="9"/>
      <c r="E578" s="33"/>
      <c r="F578" s="47"/>
    </row>
    <row r="579" spans="2:6" x14ac:dyDescent="0.25">
      <c r="B579" s="81"/>
      <c r="C579" s="9"/>
      <c r="D579" s="9"/>
      <c r="E579" s="33"/>
      <c r="F579" s="47"/>
    </row>
    <row r="580" spans="2:6" x14ac:dyDescent="0.25">
      <c r="B580" s="81"/>
      <c r="C580" s="9"/>
      <c r="D580" s="9"/>
      <c r="E580" s="33"/>
      <c r="F580" s="47"/>
    </row>
    <row r="581" spans="2:6" x14ac:dyDescent="0.25">
      <c r="B581" s="81"/>
      <c r="C581" s="9"/>
      <c r="D581" s="9"/>
      <c r="E581" s="33"/>
      <c r="F581" s="47"/>
    </row>
    <row r="582" spans="2:6" x14ac:dyDescent="0.25">
      <c r="B582" s="81"/>
      <c r="C582" s="9"/>
      <c r="D582" s="9"/>
      <c r="E582" s="33"/>
      <c r="F582" s="47"/>
    </row>
    <row r="583" spans="2:6" x14ac:dyDescent="0.25">
      <c r="B583" s="81"/>
      <c r="C583" s="9"/>
      <c r="D583" s="9"/>
      <c r="E583" s="33"/>
      <c r="F583" s="47"/>
    </row>
    <row r="584" spans="2:6" x14ac:dyDescent="0.25">
      <c r="B584" s="81"/>
      <c r="C584" s="9"/>
      <c r="D584" s="9"/>
      <c r="E584" s="33"/>
      <c r="F584" s="47"/>
    </row>
    <row r="585" spans="2:6" x14ac:dyDescent="0.25">
      <c r="B585" s="81"/>
      <c r="C585" s="9"/>
      <c r="D585" s="9"/>
      <c r="E585" s="33"/>
      <c r="F585" s="47"/>
    </row>
    <row r="586" spans="2:6" x14ac:dyDescent="0.25">
      <c r="B586" s="81"/>
      <c r="C586" s="9"/>
      <c r="D586" s="9"/>
      <c r="E586" s="33"/>
      <c r="F586" s="47"/>
    </row>
    <row r="587" spans="2:6" x14ac:dyDescent="0.25">
      <c r="B587" s="81"/>
      <c r="C587" s="9"/>
      <c r="D587" s="9"/>
      <c r="E587" s="33"/>
      <c r="F587" s="47"/>
    </row>
    <row r="588" spans="2:6" x14ac:dyDescent="0.25">
      <c r="B588" s="81"/>
      <c r="C588" s="9"/>
      <c r="D588" s="9"/>
      <c r="E588" s="33"/>
      <c r="F588" s="47"/>
    </row>
    <row r="589" spans="2:6" x14ac:dyDescent="0.25">
      <c r="B589" s="81"/>
      <c r="C589" s="9"/>
      <c r="D589" s="9"/>
      <c r="E589" s="33"/>
      <c r="F589" s="47"/>
    </row>
    <row r="590" spans="2:6" x14ac:dyDescent="0.25">
      <c r="B590" s="81"/>
      <c r="C590" s="9"/>
      <c r="D590" s="9"/>
      <c r="E590" s="33"/>
      <c r="F590" s="47"/>
    </row>
    <row r="591" spans="2:6" x14ac:dyDescent="0.25">
      <c r="B591" s="81"/>
      <c r="C591" s="9"/>
      <c r="D591" s="9"/>
      <c r="E591" s="33"/>
      <c r="F591" s="47"/>
    </row>
    <row r="592" spans="2:6" x14ac:dyDescent="0.25">
      <c r="B592" s="81"/>
      <c r="C592" s="9"/>
      <c r="D592" s="9"/>
      <c r="E592" s="33"/>
      <c r="F592" s="47"/>
    </row>
    <row r="593" spans="2:6" x14ac:dyDescent="0.25">
      <c r="B593" s="81"/>
      <c r="C593" s="9"/>
      <c r="D593" s="9"/>
      <c r="E593" s="33"/>
      <c r="F593" s="47"/>
    </row>
    <row r="594" spans="2:6" x14ac:dyDescent="0.25">
      <c r="B594" s="81"/>
      <c r="C594" s="9"/>
      <c r="D594" s="9"/>
      <c r="E594" s="33"/>
      <c r="F594" s="47"/>
    </row>
    <row r="595" spans="2:6" x14ac:dyDescent="0.25">
      <c r="B595" s="81"/>
      <c r="C595" s="9"/>
      <c r="D595" s="9"/>
      <c r="E595" s="33"/>
      <c r="F595" s="47"/>
    </row>
    <row r="596" spans="2:6" x14ac:dyDescent="0.25">
      <c r="B596" s="81"/>
      <c r="C596" s="9"/>
      <c r="D596" s="9"/>
      <c r="E596" s="33"/>
      <c r="F596" s="47"/>
    </row>
    <row r="597" spans="2:6" x14ac:dyDescent="0.25">
      <c r="B597" s="81"/>
      <c r="C597" s="9"/>
      <c r="D597" s="9"/>
      <c r="E597" s="33"/>
      <c r="F597" s="47"/>
    </row>
    <row r="598" spans="2:6" x14ac:dyDescent="0.25">
      <c r="B598" s="81"/>
      <c r="C598" s="9"/>
      <c r="D598" s="9"/>
      <c r="E598" s="33"/>
      <c r="F598" s="47"/>
    </row>
    <row r="599" spans="2:6" x14ac:dyDescent="0.25">
      <c r="B599" s="81"/>
      <c r="C599" s="9"/>
      <c r="D599" s="9"/>
      <c r="E599" s="33"/>
      <c r="F599" s="47"/>
    </row>
    <row r="600" spans="2:6" x14ac:dyDescent="0.25">
      <c r="B600" s="81"/>
      <c r="C600" s="9"/>
      <c r="D600" s="9"/>
      <c r="E600" s="33"/>
      <c r="F600" s="47"/>
    </row>
    <row r="601" spans="2:6" x14ac:dyDescent="0.25">
      <c r="B601" s="81"/>
      <c r="C601" s="9"/>
      <c r="D601" s="9"/>
      <c r="E601" s="33"/>
      <c r="F601" s="47"/>
    </row>
    <row r="602" spans="2:6" x14ac:dyDescent="0.25">
      <c r="B602" s="81"/>
      <c r="C602" s="9"/>
      <c r="D602" s="9"/>
      <c r="E602" s="33"/>
      <c r="F602" s="47"/>
    </row>
    <row r="603" spans="2:6" x14ac:dyDescent="0.25">
      <c r="B603" s="81"/>
      <c r="C603" s="9"/>
      <c r="D603" s="9"/>
      <c r="E603" s="33"/>
      <c r="F603" s="47"/>
    </row>
    <row r="604" spans="2:6" x14ac:dyDescent="0.25">
      <c r="B604" s="81"/>
      <c r="C604" s="9"/>
      <c r="D604" s="9"/>
      <c r="E604" s="33"/>
      <c r="F604" s="47"/>
    </row>
    <row r="605" spans="2:6" x14ac:dyDescent="0.25">
      <c r="B605" s="81"/>
      <c r="C605" s="9"/>
      <c r="D605" s="9"/>
      <c r="E605" s="33"/>
      <c r="F605" s="47"/>
    </row>
    <row r="606" spans="2:6" x14ac:dyDescent="0.25">
      <c r="B606" s="81"/>
      <c r="C606" s="9"/>
      <c r="D606" s="9"/>
      <c r="E606" s="33"/>
      <c r="F606" s="47"/>
    </row>
    <row r="607" spans="2:6" x14ac:dyDescent="0.25">
      <c r="B607" s="81"/>
      <c r="C607" s="9"/>
      <c r="D607" s="9"/>
      <c r="E607" s="33"/>
      <c r="F607" s="47"/>
    </row>
    <row r="608" spans="2:6" x14ac:dyDescent="0.25">
      <c r="B608" s="81"/>
      <c r="C608" s="9"/>
      <c r="D608" s="9"/>
      <c r="E608" s="33"/>
      <c r="F608" s="47"/>
    </row>
    <row r="609" spans="2:6" x14ac:dyDescent="0.25">
      <c r="B609" s="81"/>
      <c r="C609" s="9"/>
      <c r="D609" s="9"/>
      <c r="E609" s="33"/>
      <c r="F609" s="47"/>
    </row>
    <row r="610" spans="2:6" x14ac:dyDescent="0.25">
      <c r="B610" s="81"/>
      <c r="C610" s="9"/>
      <c r="D610" s="9"/>
      <c r="E610" s="33"/>
      <c r="F610" s="47"/>
    </row>
    <row r="611" spans="2:6" x14ac:dyDescent="0.25">
      <c r="B611" s="81"/>
      <c r="C611" s="9"/>
      <c r="D611" s="9"/>
      <c r="E611" s="33"/>
      <c r="F611" s="47"/>
    </row>
    <row r="612" spans="2:6" x14ac:dyDescent="0.25">
      <c r="B612" s="81"/>
      <c r="C612" s="9"/>
      <c r="D612" s="9"/>
      <c r="E612" s="33"/>
      <c r="F612" s="47"/>
    </row>
    <row r="613" spans="2:6" x14ac:dyDescent="0.25">
      <c r="B613" s="81"/>
      <c r="C613" s="9"/>
      <c r="D613" s="9"/>
      <c r="E613" s="33"/>
      <c r="F613" s="47"/>
    </row>
    <row r="614" spans="2:6" x14ac:dyDescent="0.25">
      <c r="B614" s="81"/>
      <c r="C614" s="9"/>
      <c r="D614" s="9"/>
      <c r="E614" s="33"/>
      <c r="F614" s="47"/>
    </row>
    <row r="615" spans="2:6" x14ac:dyDescent="0.25">
      <c r="B615" s="81"/>
      <c r="C615" s="9"/>
      <c r="D615" s="9"/>
      <c r="E615" s="33"/>
      <c r="F615" s="47"/>
    </row>
    <row r="616" spans="2:6" x14ac:dyDescent="0.25">
      <c r="B616" s="81"/>
      <c r="C616" s="9"/>
      <c r="D616" s="9"/>
      <c r="E616" s="33"/>
      <c r="F616" s="47"/>
    </row>
    <row r="617" spans="2:6" x14ac:dyDescent="0.25">
      <c r="B617" s="81"/>
      <c r="C617" s="9"/>
      <c r="D617" s="9"/>
      <c r="E617" s="33"/>
      <c r="F617" s="47"/>
    </row>
    <row r="618" spans="2:6" x14ac:dyDescent="0.25">
      <c r="B618" s="81"/>
      <c r="C618" s="9"/>
      <c r="D618" s="9"/>
      <c r="E618" s="33"/>
      <c r="F618" s="47"/>
    </row>
    <row r="619" spans="2:6" x14ac:dyDescent="0.25">
      <c r="B619" s="81"/>
      <c r="C619" s="9"/>
      <c r="D619" s="9"/>
      <c r="E619" s="33"/>
      <c r="F619" s="47"/>
    </row>
    <row r="620" spans="2:6" x14ac:dyDescent="0.25">
      <c r="B620" s="81"/>
      <c r="C620" s="9"/>
      <c r="D620" s="9"/>
      <c r="E620" s="33"/>
      <c r="F620" s="47"/>
    </row>
    <row r="621" spans="2:6" x14ac:dyDescent="0.25">
      <c r="B621" s="81"/>
      <c r="C621" s="9"/>
      <c r="D621" s="9"/>
      <c r="E621" s="33"/>
      <c r="F621" s="47"/>
    </row>
    <row r="622" spans="2:6" x14ac:dyDescent="0.25">
      <c r="B622" s="81"/>
      <c r="C622" s="9"/>
      <c r="D622" s="9"/>
      <c r="E622" s="33"/>
      <c r="F622" s="47"/>
    </row>
    <row r="623" spans="2:6" x14ac:dyDescent="0.25">
      <c r="B623" s="81"/>
      <c r="C623" s="9"/>
      <c r="D623" s="9"/>
      <c r="E623" s="33"/>
      <c r="F623" s="47"/>
    </row>
    <row r="624" spans="2:6" x14ac:dyDescent="0.25">
      <c r="B624" s="81"/>
      <c r="C624" s="9"/>
      <c r="D624" s="9"/>
      <c r="E624" s="33"/>
      <c r="F624" s="47"/>
    </row>
    <row r="625" spans="2:6" x14ac:dyDescent="0.25">
      <c r="B625" s="81"/>
      <c r="C625" s="9"/>
      <c r="D625" s="9"/>
      <c r="E625" s="33"/>
      <c r="F625" s="47"/>
    </row>
    <row r="626" spans="2:6" x14ac:dyDescent="0.25">
      <c r="B626" s="81"/>
      <c r="C626" s="9"/>
      <c r="D626" s="9"/>
      <c r="E626" s="33"/>
      <c r="F626" s="47"/>
    </row>
    <row r="627" spans="2:6" x14ac:dyDescent="0.25">
      <c r="B627" s="81"/>
      <c r="C627" s="9"/>
      <c r="D627" s="9"/>
      <c r="E627" s="33"/>
      <c r="F627" s="47"/>
    </row>
    <row r="628" spans="2:6" x14ac:dyDescent="0.25">
      <c r="B628" s="81"/>
      <c r="C628" s="9"/>
      <c r="D628" s="9"/>
      <c r="E628" s="33"/>
      <c r="F628" s="47"/>
    </row>
    <row r="629" spans="2:6" x14ac:dyDescent="0.25">
      <c r="B629" s="81"/>
      <c r="C629" s="9"/>
      <c r="D629" s="9"/>
      <c r="E629" s="33"/>
      <c r="F629" s="47"/>
    </row>
    <row r="630" spans="2:6" x14ac:dyDescent="0.25">
      <c r="B630" s="81"/>
      <c r="C630" s="9"/>
      <c r="D630" s="9"/>
      <c r="E630" s="33"/>
      <c r="F630" s="47"/>
    </row>
    <row r="631" spans="2:6" x14ac:dyDescent="0.25">
      <c r="B631" s="81"/>
      <c r="C631" s="9"/>
      <c r="D631" s="9"/>
      <c r="E631" s="33"/>
      <c r="F631" s="47"/>
    </row>
    <row r="632" spans="2:6" x14ac:dyDescent="0.25">
      <c r="B632" s="81"/>
      <c r="C632" s="9"/>
      <c r="D632" s="9"/>
      <c r="E632" s="33"/>
      <c r="F632" s="47"/>
    </row>
    <row r="633" spans="2:6" x14ac:dyDescent="0.25">
      <c r="B633" s="81"/>
      <c r="C633" s="9"/>
      <c r="D633" s="9"/>
      <c r="E633" s="33"/>
      <c r="F633" s="47"/>
    </row>
    <row r="634" spans="2:6" x14ac:dyDescent="0.25">
      <c r="B634" s="81"/>
      <c r="C634" s="9"/>
      <c r="D634" s="9"/>
      <c r="E634" s="33"/>
      <c r="F634" s="47"/>
    </row>
    <row r="635" spans="2:6" x14ac:dyDescent="0.25">
      <c r="B635" s="81"/>
      <c r="C635" s="9"/>
      <c r="D635" s="9"/>
      <c r="E635" s="33"/>
      <c r="F635" s="47"/>
    </row>
    <row r="636" spans="2:6" x14ac:dyDescent="0.25">
      <c r="B636" s="81"/>
      <c r="C636" s="9"/>
      <c r="D636" s="9"/>
      <c r="E636" s="33"/>
      <c r="F636" s="47"/>
    </row>
    <row r="637" spans="2:6" x14ac:dyDescent="0.25">
      <c r="B637" s="81"/>
      <c r="C637" s="9"/>
      <c r="D637" s="9"/>
      <c r="E637" s="33"/>
      <c r="F637" s="47"/>
    </row>
    <row r="638" spans="2:6" x14ac:dyDescent="0.25">
      <c r="B638" s="81"/>
      <c r="C638" s="9"/>
      <c r="D638" s="9"/>
      <c r="E638" s="33"/>
      <c r="F638" s="47"/>
    </row>
    <row r="639" spans="2:6" x14ac:dyDescent="0.25">
      <c r="B639" s="81"/>
      <c r="C639" s="9"/>
      <c r="D639" s="9"/>
      <c r="E639" s="33"/>
      <c r="F639" s="47"/>
    </row>
    <row r="640" spans="2:6" x14ac:dyDescent="0.25">
      <c r="B640" s="81"/>
      <c r="C640" s="9"/>
      <c r="D640" s="9"/>
      <c r="E640" s="33"/>
      <c r="F640" s="47"/>
    </row>
    <row r="641" spans="2:6" x14ac:dyDescent="0.25">
      <c r="B641" s="81"/>
      <c r="C641" s="9"/>
      <c r="D641" s="9"/>
      <c r="E641" s="33"/>
      <c r="F641" s="47"/>
    </row>
    <row r="642" spans="2:6" x14ac:dyDescent="0.25">
      <c r="B642" s="81"/>
      <c r="C642" s="9"/>
      <c r="D642" s="9"/>
      <c r="E642" s="33"/>
      <c r="F642" s="47"/>
    </row>
    <row r="643" spans="2:6" x14ac:dyDescent="0.25">
      <c r="B643" s="81"/>
      <c r="C643" s="9"/>
      <c r="D643" s="9"/>
      <c r="E643" s="33"/>
      <c r="F643" s="47"/>
    </row>
    <row r="644" spans="2:6" x14ac:dyDescent="0.25">
      <c r="B644" s="81"/>
      <c r="C644" s="9"/>
      <c r="D644" s="9"/>
      <c r="E644" s="33"/>
      <c r="F644" s="47"/>
    </row>
    <row r="645" spans="2:6" x14ac:dyDescent="0.25">
      <c r="B645" s="81"/>
      <c r="C645" s="9"/>
      <c r="D645" s="9"/>
      <c r="E645" s="33"/>
      <c r="F645" s="47"/>
    </row>
    <row r="646" spans="2:6" x14ac:dyDescent="0.25">
      <c r="B646" s="81"/>
      <c r="C646" s="9"/>
      <c r="D646" s="9"/>
      <c r="E646" s="33"/>
      <c r="F646" s="47"/>
    </row>
    <row r="647" spans="2:6" x14ac:dyDescent="0.25">
      <c r="B647" s="81"/>
      <c r="C647" s="9"/>
      <c r="D647" s="9"/>
      <c r="E647" s="33"/>
      <c r="F647" s="47"/>
    </row>
    <row r="648" spans="2:6" x14ac:dyDescent="0.25">
      <c r="B648" s="81"/>
      <c r="C648" s="9"/>
      <c r="D648" s="9"/>
      <c r="E648" s="33"/>
      <c r="F648" s="47"/>
    </row>
    <row r="649" spans="2:6" x14ac:dyDescent="0.25">
      <c r="B649" s="81"/>
      <c r="C649" s="9"/>
      <c r="D649" s="9"/>
      <c r="E649" s="33"/>
      <c r="F649" s="47"/>
    </row>
    <row r="650" spans="2:6" x14ac:dyDescent="0.25">
      <c r="B650" s="81"/>
      <c r="C650" s="9"/>
      <c r="D650" s="9"/>
      <c r="E650" s="33"/>
      <c r="F650" s="47"/>
    </row>
    <row r="651" spans="2:6" x14ac:dyDescent="0.25">
      <c r="B651" s="81"/>
      <c r="C651" s="9"/>
      <c r="D651" s="9"/>
      <c r="E651" s="33"/>
      <c r="F651" s="47"/>
    </row>
    <row r="652" spans="2:6" x14ac:dyDescent="0.25">
      <c r="B652" s="81"/>
      <c r="C652" s="9"/>
      <c r="D652" s="9"/>
      <c r="E652" s="33"/>
      <c r="F652" s="47"/>
    </row>
    <row r="653" spans="2:6" x14ac:dyDescent="0.25">
      <c r="B653" s="81"/>
      <c r="C653" s="9"/>
      <c r="D653" s="9"/>
      <c r="E653" s="33"/>
      <c r="F653" s="47"/>
    </row>
    <row r="654" spans="2:6" x14ac:dyDescent="0.25">
      <c r="B654" s="81"/>
      <c r="C654" s="9"/>
      <c r="D654" s="9"/>
      <c r="E654" s="33"/>
      <c r="F654" s="47"/>
    </row>
    <row r="655" spans="2:6" x14ac:dyDescent="0.25">
      <c r="B655" s="81"/>
      <c r="C655" s="9"/>
      <c r="D655" s="9"/>
      <c r="E655" s="33"/>
      <c r="F655" s="47"/>
    </row>
    <row r="656" spans="2:6" x14ac:dyDescent="0.25">
      <c r="B656" s="81"/>
      <c r="C656" s="9"/>
      <c r="D656" s="9"/>
      <c r="E656" s="33"/>
      <c r="F656" s="47"/>
    </row>
    <row r="657" spans="2:6" x14ac:dyDescent="0.25">
      <c r="B657" s="81"/>
      <c r="C657" s="9"/>
      <c r="D657" s="9"/>
      <c r="E657" s="33"/>
      <c r="F657" s="47"/>
    </row>
    <row r="658" spans="2:6" x14ac:dyDescent="0.25">
      <c r="B658" s="81"/>
      <c r="C658" s="9"/>
      <c r="D658" s="9"/>
      <c r="E658" s="33"/>
      <c r="F658" s="47"/>
    </row>
    <row r="659" spans="2:6" x14ac:dyDescent="0.25">
      <c r="B659" s="81"/>
      <c r="C659" s="9"/>
      <c r="D659" s="9"/>
      <c r="E659" s="33"/>
      <c r="F659" s="47"/>
    </row>
    <row r="660" spans="2:6" x14ac:dyDescent="0.25">
      <c r="B660" s="81"/>
      <c r="C660" s="9"/>
      <c r="D660" s="9"/>
      <c r="E660" s="33"/>
      <c r="F660" s="47"/>
    </row>
    <row r="661" spans="2:6" x14ac:dyDescent="0.25">
      <c r="B661" s="81"/>
      <c r="C661" s="9"/>
      <c r="D661" s="9"/>
      <c r="E661" s="33"/>
      <c r="F661" s="47"/>
    </row>
    <row r="662" spans="2:6" x14ac:dyDescent="0.25">
      <c r="B662" s="81"/>
      <c r="C662" s="9"/>
      <c r="D662" s="9"/>
      <c r="E662" s="33"/>
      <c r="F662" s="47"/>
    </row>
    <row r="663" spans="2:6" x14ac:dyDescent="0.25">
      <c r="B663" s="81"/>
      <c r="C663" s="9"/>
      <c r="D663" s="9"/>
      <c r="E663" s="33"/>
      <c r="F663" s="47"/>
    </row>
    <row r="664" spans="2:6" x14ac:dyDescent="0.25">
      <c r="B664" s="81"/>
      <c r="C664" s="9"/>
      <c r="D664" s="9"/>
      <c r="E664" s="33"/>
      <c r="F664" s="47"/>
    </row>
    <row r="665" spans="2:6" x14ac:dyDescent="0.25">
      <c r="B665" s="81"/>
      <c r="C665" s="9"/>
      <c r="D665" s="9"/>
      <c r="E665" s="33"/>
      <c r="F665" s="47"/>
    </row>
    <row r="666" spans="2:6" x14ac:dyDescent="0.25">
      <c r="B666" s="81"/>
      <c r="C666" s="9"/>
      <c r="D666" s="9"/>
      <c r="E666" s="33"/>
      <c r="F666" s="47"/>
    </row>
    <row r="667" spans="2:6" x14ac:dyDescent="0.25">
      <c r="B667" s="81"/>
      <c r="C667" s="9"/>
      <c r="D667" s="9"/>
      <c r="E667" s="33"/>
      <c r="F667" s="47"/>
    </row>
    <row r="668" spans="2:6" x14ac:dyDescent="0.25">
      <c r="B668" s="81"/>
      <c r="C668" s="9"/>
      <c r="D668" s="9"/>
      <c r="E668" s="33"/>
      <c r="F668" s="47"/>
    </row>
    <row r="669" spans="2:6" x14ac:dyDescent="0.25">
      <c r="B669" s="81"/>
      <c r="C669" s="9"/>
      <c r="D669" s="9"/>
      <c r="E669" s="33"/>
      <c r="F669" s="47"/>
    </row>
    <row r="670" spans="2:6" x14ac:dyDescent="0.25">
      <c r="B670" s="81"/>
      <c r="C670" s="9"/>
      <c r="D670" s="9"/>
      <c r="E670" s="33"/>
      <c r="F670" s="47"/>
    </row>
    <row r="671" spans="2:6" x14ac:dyDescent="0.25">
      <c r="B671" s="81"/>
      <c r="C671" s="9"/>
      <c r="D671" s="9"/>
      <c r="E671" s="33"/>
      <c r="F671" s="47"/>
    </row>
    <row r="672" spans="2:6" x14ac:dyDescent="0.25">
      <c r="B672" s="81"/>
      <c r="C672" s="9"/>
      <c r="D672" s="9"/>
      <c r="E672" s="33"/>
      <c r="F672" s="47"/>
    </row>
    <row r="673" spans="2:6" x14ac:dyDescent="0.25">
      <c r="B673" s="81"/>
      <c r="C673" s="9"/>
      <c r="D673" s="9"/>
      <c r="E673" s="33"/>
      <c r="F673" s="47"/>
    </row>
    <row r="674" spans="2:6" x14ac:dyDescent="0.25">
      <c r="B674" s="81"/>
      <c r="C674" s="9"/>
      <c r="D674" s="9"/>
      <c r="E674" s="33"/>
      <c r="F674" s="47"/>
    </row>
    <row r="675" spans="2:6" x14ac:dyDescent="0.25">
      <c r="B675" s="81"/>
      <c r="C675" s="9"/>
      <c r="D675" s="9"/>
      <c r="E675" s="33"/>
      <c r="F675" s="47"/>
    </row>
    <row r="676" spans="2:6" x14ac:dyDescent="0.25">
      <c r="B676" s="81"/>
      <c r="C676" s="9"/>
      <c r="D676" s="9"/>
      <c r="E676" s="33"/>
      <c r="F676" s="47"/>
    </row>
    <row r="677" spans="2:6" x14ac:dyDescent="0.25">
      <c r="B677" s="81"/>
      <c r="C677" s="9"/>
      <c r="D677" s="9"/>
      <c r="E677" s="33"/>
      <c r="F677" s="47"/>
    </row>
    <row r="678" spans="2:6" x14ac:dyDescent="0.25">
      <c r="B678" s="81"/>
      <c r="C678" s="9"/>
      <c r="D678" s="9"/>
      <c r="E678" s="33"/>
      <c r="F678" s="47"/>
    </row>
    <row r="679" spans="2:6" x14ac:dyDescent="0.25">
      <c r="B679" s="81"/>
      <c r="C679" s="9"/>
      <c r="D679" s="9"/>
      <c r="E679" s="33"/>
      <c r="F679" s="47"/>
    </row>
    <row r="680" spans="2:6" x14ac:dyDescent="0.25">
      <c r="B680" s="81"/>
      <c r="C680" s="9"/>
      <c r="D680" s="9"/>
      <c r="E680" s="33"/>
      <c r="F680" s="47"/>
    </row>
    <row r="681" spans="2:6" x14ac:dyDescent="0.25">
      <c r="B681" s="81"/>
      <c r="C681" s="9"/>
      <c r="D681" s="9"/>
      <c r="E681" s="33"/>
      <c r="F681" s="47"/>
    </row>
    <row r="682" spans="2:6" x14ac:dyDescent="0.25">
      <c r="B682" s="81"/>
      <c r="C682" s="9"/>
      <c r="D682" s="9"/>
      <c r="E682" s="33"/>
      <c r="F682" s="47"/>
    </row>
    <row r="683" spans="2:6" x14ac:dyDescent="0.25">
      <c r="B683" s="81"/>
      <c r="C683" s="9"/>
      <c r="D683" s="9"/>
      <c r="E683" s="33"/>
      <c r="F683" s="47"/>
    </row>
    <row r="684" spans="2:6" x14ac:dyDescent="0.25">
      <c r="B684" s="81"/>
      <c r="C684" s="9"/>
      <c r="D684" s="9"/>
      <c r="E684" s="33"/>
      <c r="F684" s="47"/>
    </row>
    <row r="685" spans="2:6" x14ac:dyDescent="0.25">
      <c r="B685" s="81"/>
      <c r="C685" s="9"/>
      <c r="D685" s="9"/>
      <c r="E685" s="33"/>
      <c r="F685" s="47"/>
    </row>
    <row r="686" spans="2:6" x14ac:dyDescent="0.25">
      <c r="B686" s="81"/>
      <c r="C686" s="9"/>
      <c r="D686" s="9"/>
      <c r="E686" s="33"/>
      <c r="F686" s="47"/>
    </row>
    <row r="687" spans="2:6" x14ac:dyDescent="0.25">
      <c r="B687" s="81"/>
      <c r="C687" s="9"/>
      <c r="D687" s="9"/>
      <c r="E687" s="33"/>
      <c r="F687" s="47"/>
    </row>
    <row r="688" spans="2:6" x14ac:dyDescent="0.25">
      <c r="B688" s="81"/>
      <c r="C688" s="9"/>
      <c r="D688" s="9"/>
      <c r="E688" s="33"/>
      <c r="F688" s="47"/>
    </row>
    <row r="689" spans="2:6" x14ac:dyDescent="0.25">
      <c r="B689" s="81"/>
      <c r="C689" s="9"/>
      <c r="D689" s="9"/>
      <c r="E689" s="33"/>
      <c r="F689" s="47"/>
    </row>
    <row r="690" spans="2:6" x14ac:dyDescent="0.25">
      <c r="B690" s="81"/>
      <c r="C690" s="9"/>
      <c r="D690" s="9"/>
      <c r="E690" s="33"/>
      <c r="F690" s="47"/>
    </row>
    <row r="691" spans="2:6" x14ac:dyDescent="0.25">
      <c r="B691" s="81"/>
      <c r="C691" s="9"/>
      <c r="D691" s="9"/>
      <c r="E691" s="33"/>
      <c r="F691" s="47"/>
    </row>
    <row r="692" spans="2:6" x14ac:dyDescent="0.25">
      <c r="B692" s="81"/>
      <c r="C692" s="9"/>
      <c r="D692" s="9"/>
      <c r="E692" s="33"/>
      <c r="F692" s="47"/>
    </row>
    <row r="693" spans="2:6" x14ac:dyDescent="0.25">
      <c r="B693" s="81"/>
      <c r="C693" s="9"/>
      <c r="D693" s="9"/>
      <c r="E693" s="33"/>
      <c r="F693" s="47"/>
    </row>
    <row r="694" spans="2:6" x14ac:dyDescent="0.25">
      <c r="B694" s="81"/>
      <c r="C694" s="9"/>
      <c r="D694" s="9"/>
      <c r="E694" s="33"/>
      <c r="F694" s="47"/>
    </row>
    <row r="695" spans="2:6" x14ac:dyDescent="0.25">
      <c r="B695" s="81"/>
      <c r="C695" s="9"/>
      <c r="D695" s="9"/>
      <c r="E695" s="33"/>
      <c r="F695" s="47"/>
    </row>
    <row r="696" spans="2:6" x14ac:dyDescent="0.25">
      <c r="B696" s="81"/>
      <c r="C696" s="9"/>
      <c r="D696" s="9"/>
      <c r="E696" s="33"/>
      <c r="F696" s="47"/>
    </row>
    <row r="697" spans="2:6" x14ac:dyDescent="0.25">
      <c r="B697" s="81"/>
      <c r="C697" s="9"/>
      <c r="D697" s="9"/>
      <c r="E697" s="33"/>
      <c r="F697" s="47"/>
    </row>
    <row r="698" spans="2:6" x14ac:dyDescent="0.25">
      <c r="B698" s="81"/>
      <c r="C698" s="9"/>
      <c r="D698" s="9"/>
      <c r="E698" s="33"/>
      <c r="F698" s="47"/>
    </row>
    <row r="699" spans="2:6" x14ac:dyDescent="0.25">
      <c r="B699" s="81"/>
      <c r="C699" s="9"/>
      <c r="D699" s="9"/>
      <c r="E699" s="33"/>
      <c r="F699" s="47"/>
    </row>
    <row r="700" spans="2:6" x14ac:dyDescent="0.25">
      <c r="B700" s="81"/>
      <c r="C700" s="9"/>
      <c r="D700" s="9"/>
      <c r="E700" s="33"/>
      <c r="F700" s="47"/>
    </row>
    <row r="701" spans="2:6" x14ac:dyDescent="0.25">
      <c r="B701" s="81"/>
      <c r="C701" s="9"/>
      <c r="D701" s="9"/>
      <c r="E701" s="33"/>
      <c r="F701" s="47"/>
    </row>
    <row r="702" spans="2:6" x14ac:dyDescent="0.25">
      <c r="B702" s="81"/>
      <c r="C702" s="9"/>
      <c r="D702" s="9"/>
      <c r="E702" s="33"/>
      <c r="F702" s="47"/>
    </row>
    <row r="703" spans="2:6" x14ac:dyDescent="0.25">
      <c r="B703" s="81"/>
      <c r="C703" s="9"/>
      <c r="D703" s="9"/>
      <c r="E703" s="33"/>
      <c r="F703" s="47"/>
    </row>
    <row r="704" spans="2:6" x14ac:dyDescent="0.25">
      <c r="B704" s="81"/>
      <c r="C704" s="9"/>
      <c r="D704" s="9"/>
      <c r="E704" s="33"/>
      <c r="F704" s="47"/>
    </row>
    <row r="705" spans="2:6" x14ac:dyDescent="0.25">
      <c r="B705" s="81"/>
      <c r="C705" s="9"/>
      <c r="D705" s="9"/>
      <c r="E705" s="33"/>
      <c r="F705" s="47"/>
    </row>
    <row r="706" spans="2:6" x14ac:dyDescent="0.25">
      <c r="B706" s="81"/>
      <c r="C706" s="9"/>
      <c r="D706" s="9"/>
      <c r="E706" s="33"/>
      <c r="F706" s="47"/>
    </row>
    <row r="707" spans="2:6" x14ac:dyDescent="0.25">
      <c r="B707" s="81"/>
      <c r="C707" s="9"/>
      <c r="D707" s="9"/>
      <c r="E707" s="33"/>
      <c r="F707" s="47"/>
    </row>
    <row r="708" spans="2:6" x14ac:dyDescent="0.25">
      <c r="B708" s="81"/>
      <c r="C708" s="9"/>
      <c r="D708" s="9"/>
      <c r="E708" s="33"/>
      <c r="F708" s="47"/>
    </row>
    <row r="709" spans="2:6" x14ac:dyDescent="0.25">
      <c r="B709" s="81"/>
      <c r="C709" s="9"/>
      <c r="D709" s="9"/>
      <c r="E709" s="33"/>
      <c r="F709" s="47"/>
    </row>
    <row r="710" spans="2:6" x14ac:dyDescent="0.25">
      <c r="B710" s="81"/>
      <c r="C710" s="9"/>
      <c r="D710" s="9"/>
      <c r="E710" s="33"/>
      <c r="F710" s="47"/>
    </row>
    <row r="711" spans="2:6" x14ac:dyDescent="0.25">
      <c r="B711" s="81"/>
      <c r="C711" s="9"/>
      <c r="D711" s="9"/>
      <c r="E711" s="33"/>
      <c r="F711" s="47"/>
    </row>
    <row r="712" spans="2:6" x14ac:dyDescent="0.25">
      <c r="B712" s="81"/>
      <c r="C712" s="9"/>
      <c r="D712" s="9"/>
      <c r="E712" s="33"/>
      <c r="F712" s="47"/>
    </row>
    <row r="713" spans="2:6" x14ac:dyDescent="0.25">
      <c r="B713" s="81"/>
      <c r="C713" s="9"/>
      <c r="D713" s="9"/>
      <c r="E713" s="33"/>
      <c r="F713" s="47"/>
    </row>
    <row r="714" spans="2:6" x14ac:dyDescent="0.25">
      <c r="B714" s="81"/>
      <c r="C714" s="9"/>
      <c r="D714" s="9"/>
      <c r="E714" s="33"/>
      <c r="F714" s="47"/>
    </row>
    <row r="715" spans="2:6" x14ac:dyDescent="0.25">
      <c r="B715" s="81"/>
      <c r="C715" s="9"/>
      <c r="D715" s="9"/>
      <c r="E715" s="33"/>
      <c r="F715" s="47"/>
    </row>
    <row r="716" spans="2:6" x14ac:dyDescent="0.25">
      <c r="B716" s="81"/>
      <c r="C716" s="9"/>
      <c r="D716" s="9"/>
      <c r="E716" s="33"/>
      <c r="F716" s="47"/>
    </row>
    <row r="717" spans="2:6" x14ac:dyDescent="0.25">
      <c r="B717" s="81"/>
      <c r="C717" s="9"/>
      <c r="D717" s="9"/>
      <c r="E717" s="33"/>
      <c r="F717" s="47"/>
    </row>
    <row r="718" spans="2:6" x14ac:dyDescent="0.25">
      <c r="B718" s="81"/>
      <c r="C718" s="9"/>
      <c r="D718" s="9"/>
      <c r="E718" s="33"/>
      <c r="F718" s="47"/>
    </row>
    <row r="719" spans="2:6" x14ac:dyDescent="0.25">
      <c r="B719" s="81"/>
      <c r="C719" s="9"/>
      <c r="D719" s="9"/>
      <c r="E719" s="33"/>
      <c r="F719" s="47"/>
    </row>
    <row r="720" spans="2:6" x14ac:dyDescent="0.25">
      <c r="B720" s="81"/>
      <c r="C720" s="9"/>
      <c r="D720" s="9"/>
      <c r="E720" s="33"/>
      <c r="F720" s="47"/>
    </row>
    <row r="721" spans="2:6" x14ac:dyDescent="0.25">
      <c r="B721" s="81"/>
      <c r="C721" s="9"/>
      <c r="D721" s="9"/>
      <c r="E721" s="33"/>
      <c r="F721" s="47"/>
    </row>
    <row r="722" spans="2:6" x14ac:dyDescent="0.25">
      <c r="B722" s="81"/>
      <c r="C722" s="9"/>
      <c r="D722" s="9"/>
      <c r="E722" s="33"/>
      <c r="F722" s="47"/>
    </row>
    <row r="723" spans="2:6" x14ac:dyDescent="0.25">
      <c r="B723" s="81"/>
      <c r="C723" s="9"/>
      <c r="D723" s="9"/>
      <c r="E723" s="33"/>
      <c r="F723" s="47"/>
    </row>
    <row r="724" spans="2:6" x14ac:dyDescent="0.25">
      <c r="B724" s="81"/>
      <c r="C724" s="9"/>
      <c r="D724" s="9"/>
      <c r="E724" s="33"/>
      <c r="F724" s="47"/>
    </row>
    <row r="725" spans="2:6" x14ac:dyDescent="0.25">
      <c r="B725" s="81"/>
      <c r="C725" s="9"/>
      <c r="D725" s="9"/>
      <c r="E725" s="33"/>
      <c r="F725" s="47"/>
    </row>
    <row r="726" spans="2:6" x14ac:dyDescent="0.25">
      <c r="B726" s="81"/>
      <c r="C726" s="9"/>
      <c r="D726" s="9"/>
      <c r="E726" s="33"/>
      <c r="F726" s="47"/>
    </row>
    <row r="727" spans="2:6" x14ac:dyDescent="0.25">
      <c r="B727" s="81"/>
      <c r="C727" s="9"/>
      <c r="D727" s="9"/>
      <c r="E727" s="33"/>
      <c r="F727" s="47"/>
    </row>
    <row r="728" spans="2:6" x14ac:dyDescent="0.25">
      <c r="B728" s="81"/>
      <c r="C728" s="9"/>
      <c r="D728" s="9"/>
      <c r="E728" s="33"/>
      <c r="F728" s="47"/>
    </row>
    <row r="729" spans="2:6" x14ac:dyDescent="0.25">
      <c r="B729" s="81"/>
      <c r="C729" s="9"/>
      <c r="D729" s="9"/>
      <c r="E729" s="33"/>
      <c r="F729" s="47"/>
    </row>
    <row r="730" spans="2:6" x14ac:dyDescent="0.25">
      <c r="B730" s="81"/>
      <c r="C730" s="9"/>
      <c r="D730" s="9"/>
      <c r="E730" s="33"/>
      <c r="F730" s="47"/>
    </row>
    <row r="731" spans="2:6" x14ac:dyDescent="0.25">
      <c r="B731" s="81"/>
      <c r="C731" s="9"/>
      <c r="D731" s="9"/>
      <c r="E731" s="33"/>
      <c r="F731" s="47"/>
    </row>
    <row r="732" spans="2:6" x14ac:dyDescent="0.25">
      <c r="B732" s="81"/>
      <c r="C732" s="9"/>
      <c r="D732" s="9"/>
      <c r="E732" s="33"/>
      <c r="F732" s="47"/>
    </row>
    <row r="733" spans="2:6" x14ac:dyDescent="0.25">
      <c r="B733" s="81"/>
      <c r="C733" s="9"/>
      <c r="D733" s="9"/>
      <c r="E733" s="33"/>
      <c r="F733" s="47"/>
    </row>
    <row r="734" spans="2:6" x14ac:dyDescent="0.25">
      <c r="B734" s="81"/>
      <c r="C734" s="9"/>
      <c r="D734" s="9"/>
      <c r="E734" s="33"/>
      <c r="F734" s="47"/>
    </row>
    <row r="735" spans="2:6" x14ac:dyDescent="0.25">
      <c r="B735" s="81"/>
      <c r="C735" s="9"/>
      <c r="D735" s="9"/>
      <c r="E735" s="33"/>
      <c r="F735" s="47"/>
    </row>
    <row r="736" spans="2:6" x14ac:dyDescent="0.25">
      <c r="B736" s="81"/>
      <c r="C736" s="9"/>
      <c r="D736" s="9"/>
      <c r="E736" s="33"/>
      <c r="F736" s="47"/>
    </row>
    <row r="737" spans="2:6" x14ac:dyDescent="0.25">
      <c r="B737" s="81"/>
      <c r="C737" s="9"/>
      <c r="D737" s="9"/>
      <c r="E737" s="33"/>
      <c r="F737" s="47"/>
    </row>
    <row r="738" spans="2:6" x14ac:dyDescent="0.25">
      <c r="B738" s="81"/>
      <c r="C738" s="9"/>
      <c r="D738" s="9"/>
      <c r="E738" s="33"/>
      <c r="F738" s="47"/>
    </row>
    <row r="739" spans="2:6" x14ac:dyDescent="0.25">
      <c r="B739" s="81"/>
      <c r="C739" s="9"/>
      <c r="D739" s="9"/>
      <c r="E739" s="33"/>
      <c r="F739" s="47"/>
    </row>
    <row r="740" spans="2:6" x14ac:dyDescent="0.25">
      <c r="B740" s="81"/>
      <c r="C740" s="9"/>
      <c r="D740" s="9"/>
      <c r="E740" s="33"/>
      <c r="F740" s="47"/>
    </row>
    <row r="741" spans="2:6" x14ac:dyDescent="0.25">
      <c r="B741" s="81"/>
      <c r="C741" s="9"/>
      <c r="D741" s="9"/>
      <c r="E741" s="33"/>
      <c r="F741" s="47"/>
    </row>
    <row r="742" spans="2:6" x14ac:dyDescent="0.25">
      <c r="B742" s="81"/>
      <c r="C742" s="9"/>
      <c r="D742" s="9"/>
      <c r="E742" s="33"/>
      <c r="F742" s="47"/>
    </row>
    <row r="743" spans="2:6" x14ac:dyDescent="0.25">
      <c r="B743" s="81"/>
      <c r="C743" s="9"/>
      <c r="D743" s="9"/>
      <c r="E743" s="33"/>
      <c r="F743" s="47"/>
    </row>
    <row r="744" spans="2:6" x14ac:dyDescent="0.25">
      <c r="B744" s="81"/>
      <c r="C744" s="9"/>
      <c r="D744" s="9"/>
      <c r="E744" s="33"/>
      <c r="F744" s="47"/>
    </row>
    <row r="745" spans="2:6" x14ac:dyDescent="0.25">
      <c r="B745" s="81"/>
      <c r="C745" s="9"/>
      <c r="D745" s="9"/>
      <c r="E745" s="33"/>
      <c r="F745" s="47"/>
    </row>
    <row r="746" spans="2:6" x14ac:dyDescent="0.25">
      <c r="B746" s="81"/>
      <c r="C746" s="9"/>
      <c r="D746" s="9"/>
      <c r="E746" s="33"/>
      <c r="F746" s="47"/>
    </row>
    <row r="747" spans="2:6" x14ac:dyDescent="0.25">
      <c r="B747" s="81"/>
      <c r="C747" s="9"/>
      <c r="D747" s="9"/>
      <c r="E747" s="33"/>
      <c r="F747" s="47"/>
    </row>
    <row r="748" spans="2:6" x14ac:dyDescent="0.25">
      <c r="B748" s="81"/>
      <c r="C748" s="9"/>
      <c r="D748" s="9"/>
      <c r="E748" s="33"/>
      <c r="F748" s="47"/>
    </row>
    <row r="749" spans="2:6" x14ac:dyDescent="0.25">
      <c r="B749" s="81"/>
      <c r="C749" s="9"/>
      <c r="D749" s="9"/>
      <c r="E749" s="33"/>
      <c r="F749" s="47"/>
    </row>
    <row r="750" spans="2:6" x14ac:dyDescent="0.25">
      <c r="B750" s="81"/>
      <c r="C750" s="9"/>
      <c r="D750" s="9"/>
      <c r="E750" s="33"/>
      <c r="F750" s="47"/>
    </row>
    <row r="751" spans="2:6" x14ac:dyDescent="0.25">
      <c r="B751" s="81"/>
      <c r="C751" s="9"/>
      <c r="D751" s="9"/>
      <c r="E751" s="33"/>
      <c r="F751" s="47"/>
    </row>
    <row r="752" spans="2:6" x14ac:dyDescent="0.25">
      <c r="B752" s="81"/>
      <c r="C752" s="9"/>
      <c r="D752" s="9"/>
      <c r="E752" s="33"/>
      <c r="F752" s="47"/>
    </row>
    <row r="753" spans="2:6" x14ac:dyDescent="0.25">
      <c r="B753" s="81"/>
      <c r="C753" s="9"/>
      <c r="D753" s="9"/>
      <c r="E753" s="33"/>
      <c r="F753" s="47"/>
    </row>
    <row r="754" spans="2:6" x14ac:dyDescent="0.25">
      <c r="B754" s="81"/>
      <c r="C754" s="9"/>
      <c r="D754" s="9"/>
      <c r="E754" s="33"/>
      <c r="F754" s="47"/>
    </row>
    <row r="755" spans="2:6" x14ac:dyDescent="0.25">
      <c r="B755" s="81"/>
      <c r="C755" s="9"/>
      <c r="D755" s="9"/>
      <c r="E755" s="33"/>
      <c r="F755" s="47"/>
    </row>
    <row r="756" spans="2:6" x14ac:dyDescent="0.25">
      <c r="B756" s="90"/>
      <c r="C756" s="91"/>
      <c r="D756" s="91"/>
      <c r="E756" s="91"/>
      <c r="F756" s="92"/>
    </row>
    <row r="757" spans="2:6" x14ac:dyDescent="0.25">
      <c r="B757" s="1" t="s">
        <v>1450</v>
      </c>
      <c r="C757" s="1">
        <v>981960735</v>
      </c>
      <c r="D757" s="50" t="s">
        <v>1451</v>
      </c>
      <c r="E757" s="50"/>
      <c r="F757" s="1" t="s">
        <v>1452</v>
      </c>
    </row>
    <row r="761" spans="2:6" x14ac:dyDescent="0.25">
      <c r="B761" s="1" t="s">
        <v>1446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4:G9"/>
  <sheetViews>
    <sheetView zoomScaleNormal="100" workbookViewId="0"/>
  </sheetViews>
  <sheetFormatPr baseColWidth="10" defaultColWidth="10.7109375" defaultRowHeight="15" x14ac:dyDescent="0.25"/>
  <cols>
    <col min="2" max="2" width="40.85546875" customWidth="1"/>
    <col min="3" max="3" width="23.42578125" customWidth="1"/>
    <col min="4" max="5" width="22.5703125" customWidth="1"/>
    <col min="6" max="6" width="14.7109375" customWidth="1"/>
    <col min="7" max="7" width="22.28515625" customWidth="1"/>
  </cols>
  <sheetData>
    <row r="4" spans="2:7" x14ac:dyDescent="0.25">
      <c r="B4" s="15" t="s">
        <v>1442</v>
      </c>
      <c r="C4" s="93" t="s">
        <v>1543</v>
      </c>
      <c r="D4" s="16" t="s">
        <v>1443</v>
      </c>
      <c r="E4" s="16" t="s">
        <v>1544</v>
      </c>
      <c r="F4" s="16" t="s">
        <v>1444</v>
      </c>
      <c r="G4" s="78" t="s">
        <v>1445</v>
      </c>
    </row>
    <row r="6" spans="2:7" x14ac:dyDescent="0.25">
      <c r="B6" s="1" t="s">
        <v>1545</v>
      </c>
    </row>
    <row r="7" spans="2:7" x14ac:dyDescent="0.25">
      <c r="B7" t="s">
        <v>1546</v>
      </c>
      <c r="C7" t="s">
        <v>1547</v>
      </c>
      <c r="D7" t="s">
        <v>1548</v>
      </c>
      <c r="E7" t="s">
        <v>1549</v>
      </c>
    </row>
    <row r="8" spans="2:7" x14ac:dyDescent="0.25">
      <c r="B8" t="s">
        <v>1550</v>
      </c>
      <c r="C8" t="s">
        <v>1551</v>
      </c>
      <c r="D8" t="s">
        <v>1552</v>
      </c>
      <c r="E8" t="s">
        <v>1553</v>
      </c>
    </row>
    <row r="9" spans="2:7" x14ac:dyDescent="0.25">
      <c r="B9" t="s">
        <v>1554</v>
      </c>
      <c r="C9" t="s">
        <v>1555</v>
      </c>
      <c r="D9" t="s">
        <v>1556</v>
      </c>
      <c r="E9" t="s">
        <v>1557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253405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PB  LUNETA</vt:lpstr>
      <vt:lpstr>NUEVO VP</vt:lpstr>
      <vt:lpstr>INVENTARIO CYNDY </vt:lpstr>
      <vt:lpstr>EQUIPAMIENTO COMPLETO</vt:lpstr>
      <vt:lpstr>PARTES</vt:lpstr>
      <vt:lpstr>LONAS ARG</vt:lpstr>
      <vt:lpstr>INF</vt:lpstr>
      <vt:lpstr>EQUIPAMIENTO AUTOMOTRIZ CLIENTE</vt:lpstr>
      <vt:lpstr>EQUIPAMIENTO MINERO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PAVILIONG4</dc:creator>
  <dc:description/>
  <cp:lastModifiedBy>Eduardo Viguera</cp:lastModifiedBy>
  <cp:revision>644</cp:revision>
  <cp:lastPrinted>2026-04-06T14:30:34Z</cp:lastPrinted>
  <dcterms:created xsi:type="dcterms:W3CDTF">2020-04-03T17:43:55Z</dcterms:created>
  <dcterms:modified xsi:type="dcterms:W3CDTF">2026-05-29T19:52:11Z</dcterms:modified>
  <dc:language>es-CL</dc:language>
</cp:coreProperties>
</file>